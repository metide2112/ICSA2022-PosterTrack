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nDuplicatedDS" sheetId="1" r:id="rId4"/>
    <sheet state="visible" name="SearchString-Criteria-RQs" sheetId="2" r:id="rId5"/>
    <sheet state="visible" name="Parameters and Values" sheetId="3" r:id="rId6"/>
  </sheets>
  <definedNames>
    <definedName localSheetId="0" name="DatiEsterni_1">NonDuplicatedDS!$A$2:$S$60</definedName>
  </definedNames>
  <calcPr/>
</workbook>
</file>

<file path=xl/sharedStrings.xml><?xml version="1.0" encoding="utf-8"?>
<sst xmlns="http://schemas.openxmlformats.org/spreadsheetml/2006/main" count="1032" uniqueCount="563">
  <si>
    <t>GENERAL</t>
  </si>
  <si>
    <t>RQ1</t>
  </si>
  <si>
    <t>RQ2</t>
  </si>
  <si>
    <t>RQ3</t>
  </si>
  <si>
    <t>ID</t>
  </si>
  <si>
    <t>Item Type</t>
  </si>
  <si>
    <t>Publication Year</t>
  </si>
  <si>
    <t>Title</t>
  </si>
  <si>
    <t>Author</t>
  </si>
  <si>
    <t>Institution</t>
  </si>
  <si>
    <t>Venue</t>
  </si>
  <si>
    <t>Num Pages</t>
  </si>
  <si>
    <t>Keywords</t>
  </si>
  <si>
    <t>DOI</t>
  </si>
  <si>
    <t>Status Phase 1</t>
  </si>
  <si>
    <t>Status Phase 2</t>
  </si>
  <si>
    <t>Status Phase 3</t>
  </si>
  <si>
    <t>Main Topic</t>
  </si>
  <si>
    <t>Quality Attributes</t>
  </si>
  <si>
    <t>Migration Phase</t>
  </si>
  <si>
    <t>System Comprehension Approach</t>
  </si>
  <si>
    <t>Mcroservices Identification Approach</t>
  </si>
  <si>
    <t>System Packaging Approach</t>
  </si>
  <si>
    <t>journalArticle</t>
  </si>
  <si>
    <t>From Lesson Learned to the Refactoring of the DRIHM Science Gateway for Hydro-Meteorological Research</t>
  </si>
  <si>
    <t>D'agostino, Daniele; Danovaro, Emanuele; Clematis, Andrea; Roverelli, Luca; Zereik, Gabriele; Galizia, Antonella</t>
  </si>
  <si>
    <t/>
  </si>
  <si>
    <t>Science gateways, Hydro-meteorology, E-Infrastructures</t>
  </si>
  <si>
    <t>10.1007/s10723-016-9377-8</t>
  </si>
  <si>
    <t>Maybe</t>
  </si>
  <si>
    <t>Accepted</t>
  </si>
  <si>
    <t>Migration to Cloud</t>
  </si>
  <si>
    <t>conferencePaper</t>
  </si>
  <si>
    <t>Migrating from Monolithic to Serverless: A FinTech Case Study</t>
  </si>
  <si>
    <t>Goli, Alireza; Hajihassani, Omid; Khazaei, Hamzeh; Ardakanian, Omid; Rashidi, Moe; Dauphinee, Tyler</t>
  </si>
  <si>
    <t>University of Alberta and York University∗ Edmonton and Toronto∗, Canada</t>
  </si>
  <si>
    <t>ICPE '20</t>
  </si>
  <si>
    <t>Serverless Computing, Monolith Architecture, Performance Evaluation, FinTech</t>
  </si>
  <si>
    <t>10.1145/3375555.3384380</t>
  </si>
  <si>
    <t>Migration to Cloud and Quality</t>
  </si>
  <si>
    <t>Performance, Scalability, Costs</t>
  </si>
  <si>
    <t>Comprehesion</t>
  </si>
  <si>
    <t>Domain-Driven</t>
  </si>
  <si>
    <t>Containarization</t>
  </si>
  <si>
    <t>Serverless Computing: Economic and Architectural Impact</t>
  </si>
  <si>
    <t>Adzic, Gojko; Chatley, Robert</t>
  </si>
  <si>
    <t>Neuri Consulting LLP, Imperial College London</t>
  </si>
  <si>
    <t>ESEC/FSE 2017</t>
  </si>
  <si>
    <t>Serverless, Cloud Computing, Economics</t>
  </si>
  <si>
    <t>10.1145/3106237.3117767</t>
  </si>
  <si>
    <t>Costs</t>
  </si>
  <si>
    <t>Microservices Assessment</t>
  </si>
  <si>
    <t>ToLambda: Automatic Path to Serverless Architectures</t>
  </si>
  <si>
    <t>Kaplunovich, Alex</t>
  </si>
  <si>
    <t>Departmentof Computer Science University of Maryland Baltimore, MD 21250, USA</t>
  </si>
  <si>
    <t>IWOR '19</t>
  </si>
  <si>
    <t>erverless, Microservices, AWS, Cloud, Lambda, Automation, Refactoring, Transformation, FaaS, Parsing, Java, JavaScript, Node.js</t>
  </si>
  <si>
    <t>10.1109/IWoR.2019.00008</t>
  </si>
  <si>
    <t>Migration to Cloud-based Microservices</t>
  </si>
  <si>
    <t>Static Analysis</t>
  </si>
  <si>
    <t>Migrating application from monolith to microservices</t>
  </si>
  <si>
    <t>Prasandy, T.; Titan; Murad, D.F.; Darwis, T.</t>
  </si>
  <si>
    <t>Information Systems Department, BINUS Online Learning Bina Nusantara University Jakarta, Indonesia 11480</t>
  </si>
  <si>
    <t>migrating, application, monolith, microservices</t>
  </si>
  <si>
    <t>10.1109/ICIMTech50083.2020.9211252</t>
  </si>
  <si>
    <t>Domain-Driven, Data-Driven</t>
  </si>
  <si>
    <t>Data-Driven, Domain-Driven</t>
  </si>
  <si>
    <t>Requirements Reconciliation for Scalable and Secure Microservice (De)composition</t>
  </si>
  <si>
    <t>Ahmadvand, Mohsen; Ibrahim, Amjad</t>
  </si>
  <si>
    <t>Technische Universitat M ¨ unchen</t>
  </si>
  <si>
    <t>2016 IEEE 24th International Requirements Engineering Conference Workshops</t>
  </si>
  <si>
    <t>10.1109/REW.2016.026</t>
  </si>
  <si>
    <t>Migration to Cloud-based Microservices and Quality</t>
  </si>
  <si>
    <t>Security, Scalability</t>
  </si>
  <si>
    <t>Microservices Identification</t>
  </si>
  <si>
    <t>Cracking the Monolith: Challenges in Data Transitioning to Cloud Native Architectures</t>
  </si>
  <si>
    <t>Mishra, Mayank; Kunde, Shruti; Nambiar, Manoj</t>
  </si>
  <si>
    <t>TCS Research, Mumbai, India.</t>
  </si>
  <si>
    <t>ECSA '18</t>
  </si>
  <si>
    <t>Cloud Native, Monolith, Architecture, SLA</t>
  </si>
  <si>
    <t>10.1145/3241403.3241440</t>
  </si>
  <si>
    <t>Data Consistency, Scalability</t>
  </si>
  <si>
    <t>Model-Driven</t>
  </si>
  <si>
    <t>Quality-Driven</t>
  </si>
  <si>
    <t>From Monolithic Architecture Style to Microservice one Based on a Semi-Automatic Approach</t>
  </si>
  <si>
    <t>Selmadji, Anfel; Seriai, Abdelhak-Djamel; Bouziane, Hinde Lilia; Oumarou Mahamane, Rahina; Zaragoza, Pascal; Dony, Christophe</t>
  </si>
  <si>
    <t>LIRMM, University of Montpellier, CNRS Montpellier, France - MISC Laboratory, Abdelhamid Mehri University Constantine, Algeria</t>
  </si>
  <si>
    <t>2020 IEEE International Conference on Software Architecture (ICSA)</t>
  </si>
  <si>
    <t>Object-Oriented, microservices, software migra-tion, identification, architect recommendations, software architecture, quality</t>
  </si>
  <si>
    <t>10.1109/ICSA47634.2020.00023</t>
  </si>
  <si>
    <t>Migration to Microservices</t>
  </si>
  <si>
    <t>Static Analysis, Domain-Driven, ML/OPT</t>
  </si>
  <si>
    <t>A Logical Architecture Design Method for Microservices Architectures</t>
  </si>
  <si>
    <t>Santos, Nuno; Salgado, Carlos E.; Morais, Francisco; Melo, MÃ³nica; Silva, Sara; Martins, Raquel; Pereira, Marco; Rodrigues, Helena; Machado, Ricardo J.; Ferreira, Nuno; Pereira, Manuel</t>
  </si>
  <si>
    <t>CCG/ZGDV Institute Guimarães Portugal, ALGORITMI Research Centre Guimarães Portugal, i2S Insurance Knowledge, S.A. Porto Portugal, F3M Information Systems Braga, Portugal</t>
  </si>
  <si>
    <t>ECSA '19</t>
  </si>
  <si>
    <t>microservices, decomposition, UML, SoaML, logical architectures, Service Participants</t>
  </si>
  <si>
    <t>10.1145/3344948.3344991</t>
  </si>
  <si>
    <t>An experience report from the migration of legacy software systems to microservice based architecture</t>
  </si>
  <si>
    <t>da Silva, H.H.S.; Carneiro, G.F.; Monteiro, M.P.</t>
  </si>
  <si>
    <t>Universidade Salvador (UNIFACS) Salvador-Bahia, Brazil - Universidade Nova de Lisboa (UNL) Lisboa, Portugal</t>
  </si>
  <si>
    <t>monolithic legacy systems, exploratory study, microservices</t>
  </si>
  <si>
    <t>10.1007/978-3-030-14070-0_26</t>
  </si>
  <si>
    <t>Static Analysis, Domain-Driven</t>
  </si>
  <si>
    <t>Migrating Monolithic Mobile Application to Microservice Architecture: An Experiment Report</t>
  </si>
  <si>
    <t>Fan, Chen-Yuan; Ma, Shang-Pin</t>
  </si>
  <si>
    <t>Department of Computer Science and Engineering National Taiwan Ocean University Taiwan</t>
  </si>
  <si>
    <t>2017 IEEE 6th International Conference on AI &amp; Mobile Services</t>
  </si>
  <si>
    <t>microservice; microservice architecture; migration; software development life cycle</t>
  </si>
  <si>
    <t>10.1109/AIMS.2017.23</t>
  </si>
  <si>
    <t>From Monolith to Microservices: A Dataflow-Driven Approach</t>
  </si>
  <si>
    <t>Chen, Rui; Li, Shanshan; Li, Zheng</t>
  </si>
  <si>
    <t>Software Institute Nanjing University Nanjing, Jiangsu, P.R.China</t>
  </si>
  <si>
    <t>2017 24th Asia-Pacific Software Engineering Conference</t>
  </si>
  <si>
    <t>microservices, monolith, decomposition, data flow, business logic</t>
  </si>
  <si>
    <t>10.1109/APSEC.2017.53</t>
  </si>
  <si>
    <t>Data-Driven</t>
  </si>
  <si>
    <t>Towards a methodology to form microservices from monolithic ones</t>
  </si>
  <si>
    <t>Kecskemeti, G.; Kertesz, A.; Marosi, A.C.</t>
  </si>
  <si>
    <t>Liverpool John Moores University, Liverpool, UK - Institute for Computer Science and Control,Hungarian Academy of Sciences, Budapest, Hungary - University of Szeged, Szeged, Hungary</t>
  </si>
  <si>
    <t>22nd International Conference on Parallel and Distributed Computing, Euro-Par 2016</t>
  </si>
  <si>
    <t>-</t>
  </si>
  <si>
    <t>10.1007/978-3-319-58943-5_23</t>
  </si>
  <si>
    <t>Image Synthesis</t>
  </si>
  <si>
    <t>Model-Based Support for Decision-Making in Architecture Evolution of Complex Software Systems</t>
  </si>
  <si>
    <t>Plakidas, Konstantinos; Schall, Daniel; Zdun, Uwe</t>
  </si>
  <si>
    <t>Software Architecture ResearchGroup, University of Vienna Vienna, Austria - Siemens Corporate Technology Vienna, Austria</t>
  </si>
  <si>
    <t>Software Architecture Evolution, Software migration, Model-based decision support, Software variability management, Systems-of-systems composition</t>
  </si>
  <si>
    <t>10.1145/3241403.3241426</t>
  </si>
  <si>
    <t>An Automatic Extraction Approach: Transition to Microservices Architecture from Monolithic Application</t>
  </si>
  <si>
    <t>Eski, Sinan; Buzluca, Feza</t>
  </si>
  <si>
    <t>Computer Engineering Department, Istanbul Technical University, Istanbul,</t>
  </si>
  <si>
    <t>XP '18</t>
  </si>
  <si>
    <t>Microservices, Graph Clustering, Software Architecture, Microservice Transformation</t>
  </si>
  <si>
    <t>10.1145/3234152.3234195</t>
  </si>
  <si>
    <t>Static Analysis, ML/OPT</t>
  </si>
  <si>
    <t>Extracting Candidates of Microservices from Monolithic Application Code</t>
  </si>
  <si>
    <t>Kamimura, Manabu; Yano, Keisuke; Hatano, Tomomi; Matsuo, Akihiko</t>
  </si>
  <si>
    <t>Software Laboratories Fujitsu Laboratories Ltd. Kawasaki, Japan</t>
  </si>
  <si>
    <t>2018 25th Asia-Pacific Software Engineering Conference (APSEC)</t>
  </si>
  <si>
    <t>microservice architecture, software clustering, partition, visualization, program comprehension, modernization</t>
  </si>
  <si>
    <t>10.1109/APSEC.2018.00072</t>
  </si>
  <si>
    <t>Static Analysis, Dynamic Analysis</t>
  </si>
  <si>
    <t>Migration of Software Components to Microservices: Matching and Synthesis</t>
  </si>
  <si>
    <t>Christoforou, Andreas; Odysseos, Lambros; Andreou, Andreas</t>
  </si>
  <si>
    <t>Department of Electrical Engineering / Computer Engineering and Informatics, Cyprus University of Technology, 31 Archbishop Kyprianos Street, Limassol, Cyprus</t>
  </si>
  <si>
    <t>ENASE 2019</t>
  </si>
  <si>
    <t>Software Engineering, Component Decomposition, Microservices, Ontology, Migration.</t>
  </si>
  <si>
    <t>10.5220/0007732101340146</t>
  </si>
  <si>
    <t>ML/OPT</t>
  </si>
  <si>
    <t>Tool support for the migration to microservice architecture: An industrial case study</t>
  </si>
  <si>
    <t>Pigazzini, I.; Arcelli Fontana, F.; Maggioni, A.</t>
  </si>
  <si>
    <t>Department of Informatics, Systems and Communication, Universit`a of Milano-Bicocca, Milan, Italy - ALTEN Italia, Milan, Italy</t>
  </si>
  <si>
    <t>Architectural smells, Architecture migration, Microservices, Topic detection, Architecture recovery</t>
  </si>
  <si>
    <t>10.1007/978-3-030-29983-5_17</t>
  </si>
  <si>
    <t>From a monolith to a microservices architecture: An approach based on transactional contexts</t>
  </si>
  <si>
    <t>Nunes, L.; Santos, N.; Rito Silva, A.</t>
  </si>
  <si>
    <t>INESC-ID/Department of Computer Science and Engineering, Instituto Superior T´ecnico, Av. Rovisco Pais 1, 1049-001 Lisbon, Portugal</t>
  </si>
  <si>
    <t>Monolith applications, Microservices architecture, Architectural migration, Transactional logic decomposition</t>
  </si>
  <si>
    <t>10.1007/978-3-030-29983-5_3</t>
  </si>
  <si>
    <t>Microservice Decomposition via Static and Dynamic Analysis of the Monolith</t>
  </si>
  <si>
    <t>Krause, Alexander; Zirkelbach, Christian; Hasselbring, Wilhelm; Lenga, Stephan; KrÃ¶ger, Dan</t>
  </si>
  <si>
    <t>Software Engineering Group Kiel University Kiel, Germany - Solution Center Lottery Applications adesso SE Hamburg, Germany</t>
  </si>
  <si>
    <t>microservices, architecture modernization, dynamic analysis, software visualization</t>
  </si>
  <si>
    <t>10.1109/ICSA-C50368.2020.00011</t>
  </si>
  <si>
    <t>Domain-Driven, Static Analysis, Dynamic Analysis</t>
  </si>
  <si>
    <t>Towards Identifying Microservice Candidates from Business Rules Implemented in Stored Procedures</t>
  </si>
  <si>
    <t>Gomes Barbosa, Marx Haron; M. Maia, Paulo Henrique</t>
  </si>
  <si>
    <t>State University of Ceara´ Fortaleza, Brazil</t>
  </si>
  <si>
    <t>ICSA-C 2020</t>
  </si>
  <si>
    <t>microservice, stored procedure, process, legacy systems</t>
  </si>
  <si>
    <t>10.1109/ICSA-C50368.2020.00015</t>
  </si>
  <si>
    <t>Domain-Driven, Static Analysis</t>
  </si>
  <si>
    <t>Analysis of legacy monolithic software decomposition into microservices</t>
  </si>
  <si>
    <t>KazanaviÄ_x008d_ius, J.; MaÅ¾eika, D.</t>
  </si>
  <si>
    <t>Vilnius Gediminas Technical University, Vilnius, Lithuania</t>
  </si>
  <si>
    <t>microservice, monolith decomposition, cloud computing, software engineering</t>
  </si>
  <si>
    <t>Data-Driven, Static Analysis, Domain-Driven</t>
  </si>
  <si>
    <t>A Reconfigurable Microservice-Based Migration Technique for IoT Systems</t>
  </si>
  <si>
    <t>Sun, C.-A.; Wang, J.; Guo, J.; Wang, Z.; Duan, L.</t>
  </si>
  <si>
    <t>School of Computer and Communication Engineering, University of Scienceand Technology Beijing, Beijing 100083, China</t>
  </si>
  <si>
    <t>ICSOC 2019 Workshops</t>
  </si>
  <si>
    <t>Internet of Things (IoT), Microservices, Migrationtechniques, Service compositions, Reconfigurable systems</t>
  </si>
  <si>
    <t>10.1007/978-3-030-45989-5_12</t>
  </si>
  <si>
    <t>Domain Analysis, Static Analysis</t>
  </si>
  <si>
    <t>Mono2Micro: An AI-Based Toolchain for Evolving Monolithic Enterprise Applications to a Microservice Architecture</t>
  </si>
  <si>
    <t>Kalia, Anup K.; Xiao, Jin; Lin, Chen; Sinha, Saurabh; Rofrano, John; Vukovic, Maja; Banerjee, Debasish</t>
  </si>
  <si>
    <t>IBM Research Yorktown Heights, NY USA - IBM Hybrid CloudRochester, MN, USA</t>
  </si>
  <si>
    <t>ESEC/FSE 2020</t>
  </si>
  <si>
    <t>software modularization, microservices, dynamic analysis, clustering</t>
  </si>
  <si>
    <t>10.1145/3368089.3417933</t>
  </si>
  <si>
    <t>Static Analysis, Dynamic Analysis, Domain-Driven, ML/OPT</t>
  </si>
  <si>
    <t>Case Study on Data Communication in Microservice Architecture</t>
  </si>
  <si>
    <t>Smid, Antonin; Wang, Ruolin; Cerny, Tomas</t>
  </si>
  <si>
    <t>Baylor University Waco, TX , Texas</t>
  </si>
  <si>
    <t>RACS '19</t>
  </si>
  <si>
    <t>Microservices, Cloud-computing, System Integration</t>
  </si>
  <si>
    <t>10.1145/3338840.3355659</t>
  </si>
  <si>
    <t>Migration to Microservices and Quality</t>
  </si>
  <si>
    <t>Data Synchronization, Performance</t>
  </si>
  <si>
    <t>Comprehension</t>
  </si>
  <si>
    <t>Availability and scalability optimized microservice discovery from enterprise systems</t>
  </si>
  <si>
    <t>De Alwis, A.A.C.; Barros, A.; Fidge, C.; Polyvyanyy, A.</t>
  </si>
  <si>
    <t>Queensland University of Technology, Brisbane, Australia - The University of Melbourne, Parkville, VIC, 3010, Australia</t>
  </si>
  <si>
    <t>Microservice discovery, system reengineering, system optimization</t>
  </si>
  <si>
    <t>10.1007/978-3-030-33246-4_31</t>
  </si>
  <si>
    <t>Coupling, Cohesion, Availability, Scalability</t>
  </si>
  <si>
    <t>Static Analysis, Data-Driven, Dynamic Analysis</t>
  </si>
  <si>
    <t>A Process Model for Microservices Design and Identification</t>
  </si>
  <si>
    <t>SchrÃ¶er, Christoph; Wittfoth, Sven; GÏŒmez, Jorge Marx</t>
  </si>
  <si>
    <t>University of Oldenburg Oldenburg, Germany -  Futures Research Volkswagen AG</t>
  </si>
  <si>
    <t>ICSA-C 2021</t>
  </si>
  <si>
    <t>Microservices, Process Model, Software architecture, Software design</t>
  </si>
  <si>
    <t>10.1109/ICSA-C52384.2021.00013</t>
  </si>
  <si>
    <t>General</t>
  </si>
  <si>
    <t>Extraction of Microservices from Monolithic Software Architectures</t>
  </si>
  <si>
    <t>Mazlami, Genc; Cito, JÃ¼rgen; Leitner, Philipp</t>
  </si>
  <si>
    <t>Software Evolution and Architecture Lab Department of Informatics University of Zurich</t>
  </si>
  <si>
    <t>2017 IEEE 24th International Conference on Web Services</t>
  </si>
  <si>
    <t>microservices; extraction; coupling; graph-based clustering;</t>
  </si>
  <si>
    <t>10.1109/ICWS.2017.61</t>
  </si>
  <si>
    <t>Coupling, Cohesion, Performance, Team Size, Domain Redundancy</t>
  </si>
  <si>
    <t>Microservices Identification, Microservices Assessment</t>
  </si>
  <si>
    <t>From monolith to microservices: Lessons learned on an industrial migration to a web oriented architecture</t>
  </si>
  <si>
    <t>Gouigoux, J.-P.; Tamzalit, D.</t>
  </si>
  <si>
    <t>Chief Technical Officer R&amp;D department MGDIS SA Vannes, France - LS2N – CNRS UMR 6004 Université de Nantes Nantes, France</t>
  </si>
  <si>
    <t>2017 IEEE International Conference on Software Architecture Workshops</t>
  </si>
  <si>
    <t>microservices; migration; Web Oriented Architecture</t>
  </si>
  <si>
    <t>10.1109/ICSAW.2017.35</t>
  </si>
  <si>
    <t>Reusability, Replaceability, Performance</t>
  </si>
  <si>
    <t>Migrating Web Applications from Monolithic Structure to Microservices Architecture</t>
  </si>
  <si>
    <t>Ren, Zhongshan; Wang, Wei; Wu, Guoquan; Gao, Chushu; Chen, Wei; Wei, Jun; Huang, Tao</t>
  </si>
  <si>
    <t>State Key Laboratory of Computer Science, Institute of Software, Chinese Academy of Science, Beijing 100190, China - University of Chinese Academy of Sciences, Beijing 100049, China</t>
  </si>
  <si>
    <t>Internetware '18</t>
  </si>
  <si>
    <t>monolithic application, microservices, application migration, function clustering</t>
  </si>
  <si>
    <t>10.1145/3275219.3275230</t>
  </si>
  <si>
    <t>Coupling, Cohesion, Scalability, Performance</t>
  </si>
  <si>
    <t>Comprehension, Microservices Assessment</t>
  </si>
  <si>
    <t>Static Analysis, Dynamic Analysis, Model-Driven</t>
  </si>
  <si>
    <t>Towards Transforming an Industrial Automation System from Monolithic to Microservices</t>
  </si>
  <si>
    <t>Sarkar, Santonu; Vashi, Gloria; Abdulla, P.P.</t>
  </si>
  <si>
    <t xml:space="preserve">ABB Corp. Research India. </t>
  </si>
  <si>
    <t>docker, container, migration, industrial system, microservice, modularity</t>
  </si>
  <si>
    <t>10.1109/ETFA.2018.8502567</t>
  </si>
  <si>
    <t>Workload, Response Time, Coupling</t>
  </si>
  <si>
    <t>Re-architecting OO software into microservices: A quality-centred approach</t>
  </si>
  <si>
    <t>Selmadji, A.; Seriai, A.-D.; Bouziane, H.L.; Dony, C.; Mahamane, R.O.</t>
  </si>
  <si>
    <t>LIRMM, CNRS and University of Montpellier, France</t>
  </si>
  <si>
    <t>European Conference on Service-Oriented and Cloud Computing ESOCC 2018</t>
  </si>
  <si>
    <t>Object-Oriented, Microservices, Migration, Identification</t>
  </si>
  <si>
    <t>10.1007/978-3-319-99819-0_5</t>
  </si>
  <si>
    <t>Coupling, Cohesion</t>
  </si>
  <si>
    <t>Priority Order Determination Method for Extracting Services Stepwise from Monolithic System</t>
  </si>
  <si>
    <t>Shimoda, A.; Sunada, T.</t>
  </si>
  <si>
    <t>Department of Project Management Chiba Institute of Technology Narashino, Japan</t>
  </si>
  <si>
    <t>2018 7th International Congress on Advanced Applied Informatics</t>
  </si>
  <si>
    <t>Monolithic architecture; Microservices architecture; Monolithic First; Refactoring</t>
  </si>
  <si>
    <t>10.1109/IIAI-AAI.2018.00165</t>
  </si>
  <si>
    <t>Scalability, Data Consistency, Performance</t>
  </si>
  <si>
    <t>Function-splitting heuristics for discovery of microservices in enterprise systems</t>
  </si>
  <si>
    <t>De Alwis, A.A.C.; Barros, A.; Polyvyanyy, A.; Fidge, C.</t>
  </si>
  <si>
    <t>Queensland University of Technology, Brisbane, Australia - The University of Melbourne, Parkville, VIC 3010, Australia</t>
  </si>
  <si>
    <t>Microservice discovery, System reengineering, Cloud migration</t>
  </si>
  <si>
    <t>10.1007/978-3-030-03596-9_3</t>
  </si>
  <si>
    <t>Cohesion, Coupling, Scalability, Availability, Efficiency</t>
  </si>
  <si>
    <t>Domain-Driven, Dynamic Analysis</t>
  </si>
  <si>
    <t>A dataflow-driven approach to identifying microservices from monolithic applications</t>
  </si>
  <si>
    <t>Li, S.; Zhang, H.; Jia, Z.; Li, Z.; Zhang, C.; Li, J.; Gao, Q.; Ge, J.; Shan, Z.</t>
  </si>
  <si>
    <t>State Key Laboratory of Novel Software Technology, Software Institute, Nanjing University, 22 Hankou Road, Gulou District, Nanjing City, 210093, Jiangsu Province, China - Department of Computer Science, University of Concepción, Edmundo Larenas 219, Concepción 4070409, Chile - School of Computer Science &amp; Technology, Anhui University, 111 Jiulong Road, Hefei City, Anhui Province, 230601, China - Tencent Building, Zhongquyi Road, Hi-tech Park, Shenzhen, Guangdong, 518057, China</t>
  </si>
  <si>
    <t>10.1016/j.jss.2019.07.008</t>
  </si>
  <si>
    <t>Data Consistency, Coupling, Cohesion</t>
  </si>
  <si>
    <t>Data-Driven, Domain-Driven, ML/OPT</t>
  </si>
  <si>
    <t>A new decomposition method for designing microservices</t>
  </si>
  <si>
    <t>Al-Debagy, O.; Martinek, P.</t>
  </si>
  <si>
    <t>Department of Electronics Technology, Faculty of Electrical Engineering and Informatics, Budapest University of Technology and Economics, H-1521 Budapest, P. O. B. 91, Hungary</t>
  </si>
  <si>
    <t>microservice architecture, microservices identification, service extraction, monolithic decomposition</t>
  </si>
  <si>
    <t>10.3311/PPee.13925</t>
  </si>
  <si>
    <t>Responsibility, Availability</t>
  </si>
  <si>
    <t>Towards Automated Microservices Extraction Using Muti-objective Evolutionary Search</t>
  </si>
  <si>
    <t>Saidani, I.; Ouni, A.; Mkaouer, M.W.; Saied, A.</t>
  </si>
  <si>
    <t>ETS Montreal, University of Quebec, Montreal, QC, Canada - Rochester Institute of Technology (RIT), Rochester, NY, USA - Concordia University, Montreal, QC, Canada</t>
  </si>
  <si>
    <t>Microservices · Search-based software engineering · legacy decomposition · Microservices architecture.</t>
  </si>
  <si>
    <t>10.1007/978-3-030-33702-5_5</t>
  </si>
  <si>
    <t>From monolithic systems to microservices: A decomposition framework based on process mining</t>
  </si>
  <si>
    <t>Taibi, D.; SystÃ¤, K.</t>
  </si>
  <si>
    <t>TASE - Tampere Software Engineering Research Group Tampere University. Tampere Finland</t>
  </si>
  <si>
    <t>CLOSER 2019 - Proceedings of the 9th International Conference on Cloud Computing and Services Science 2019</t>
  </si>
  <si>
    <t>Microservices, Cloud-Native, Microservice Slicing, Microservice Decomposition, Microservice Migration</t>
  </si>
  <si>
    <t>10.5220/0007755901530164</t>
  </si>
  <si>
    <t>Dynamic Analysis</t>
  </si>
  <si>
    <t>Towards a roadmap for the migration of legacy software systems to a microservice based architecture</t>
  </si>
  <si>
    <t>Da Silva, H.H.O.S.; De Carneiro, G.F.; Monteiro, M.P.</t>
  </si>
  <si>
    <t>Programa de Pós-Graduação em Sistemas e Computação (PPGCOMP), Universidade Salvador (UNIFACS), Salvador 41770-235, Brazil - 2NOVA LINCS, Faculdade de Ciências e Tecnologia Universidade Nova de Lisboa (FCT/UNL)</t>
  </si>
  <si>
    <t>Monolithic Legacy Systems, Exploratory Study, Microservices.</t>
  </si>
  <si>
    <t>10.5220/0007618400370047</t>
  </si>
  <si>
    <t>Granularity, Cohesion</t>
  </si>
  <si>
    <t>Static Analysis, Data-Driven, Domain-Driven</t>
  </si>
  <si>
    <t>System Decomposition to Optimize Functionality Distribution in Microservices with Rule Based Approach</t>
  </si>
  <si>
    <t>Eyitemi, Fola-Dami; Reiff-Marganiec, Stephan</t>
  </si>
  <si>
    <t>University of Leicester - University of Derby</t>
  </si>
  <si>
    <t>2020 IEEE International Conference on Service Oriented Systems Engineering (SOSE)</t>
  </si>
  <si>
    <t>Microservice, Dynamic analysis, Software Architecture</t>
  </si>
  <si>
    <t>10.1109/SOSE49046.2020.00015</t>
  </si>
  <si>
    <t>Functionality</t>
  </si>
  <si>
    <t>Comprehension, Microservices Identification</t>
  </si>
  <si>
    <t>Determining microservice boundaries: A case study using static and dynamic software analysis</t>
  </si>
  <si>
    <t>Matias, T.; Correia, F.F.; Fritzsch, J.; Bogner, J.; Ferreira, H.S.; Restivo, A.</t>
  </si>
  <si>
    <t>Faculty of Engineering, University of Porto, Porto, Portugal - INESC TEC, FEUP Campus, Porto, Portugal 3 LIACC, FEUP Campus, Porto, Portugal - Institute of Software Technology, University of Stuttgart, Stuttgart, Germany - University of Applied Sciences Reutlingen, Reutlingen, Germany</t>
  </si>
  <si>
    <t>Microservices, Refactoring, Software architecture</t>
  </si>
  <si>
    <t>10.1007/978-3-030-58923-3_21</t>
  </si>
  <si>
    <t>Microservice decompositon: A case study of a large industrial software migration in the automotive industry</t>
  </si>
  <si>
    <t>Stranner, H.; Strobl, S.; Bernhart, M.; Grechenig, T.</t>
  </si>
  <si>
    <t>Research Group for Industrial Software, Vienna University of Technology, Vienna, Austria</t>
  </si>
  <si>
    <t>5th International Conference on Evaluation of Novel Approaches to Software Engineering (ENASE 2020)</t>
  </si>
  <si>
    <t>Microservices, Decomposition Approach, Maintainability, Scalability, Bounded Contexts, Facades</t>
  </si>
  <si>
    <t>Maintainability, Scalability</t>
  </si>
  <si>
    <t>A Decomposition and Metric-Based Evaluation Framework for Microservices</t>
  </si>
  <si>
    <t>TASE - Tampere Software Engineering Research Group, Tampere University, Tampere, Finland</t>
  </si>
  <si>
    <t xml:space="preserve">CLOSER 2019: Cloud Computing and Services Science </t>
  </si>
  <si>
    <t>Microservices, Cloud-native, Microservice slicing, Microservice decomposition, Microservice migration</t>
  </si>
  <si>
    <t>10.1007/978-3-030-49432-2_7</t>
  </si>
  <si>
    <t>Extracting Microservicesâ€™ Candidates from Monolithic Applications: Interface Analysis and Evaluation Metrics Approach</t>
  </si>
  <si>
    <t>Al-Debagy, Omar; Martinek, PÃ©ter</t>
  </si>
  <si>
    <t>Department of Electronics Technology Budapest University of Technology and Economics Budapest, Hungary</t>
  </si>
  <si>
    <t xml:space="preserve">15th International Conference of System of Systems Engineering </t>
  </si>
  <si>
    <t>microservices decomposition, microservices, monolithic, software metrics</t>
  </si>
  <si>
    <t>10.1109/SoSE50414.2020.9130466</t>
  </si>
  <si>
    <t>Cohesion, Complexity</t>
  </si>
  <si>
    <t>Data-Driven, ML/OPT</t>
  </si>
  <si>
    <t>On the Performance and Adoption of Search-Based Microservice Identification with toMicroservices</t>
  </si>
  <si>
    <t>Carvalho, Luiz; Garcia, Alessandro; Colanzi, Thelma Elita; AssunÃ§Ã£o, Wesley K. G.; Pereira, Juliana Alves; Fonseca, Baldoino; Ribeiro, MÃ¡rcio; de Lima, Maria Julia; Lucena, Carlos</t>
  </si>
  <si>
    <t>Pontifical Catholic University of Rio de Janeiro, Rio de Janeiro, Brazil. - State University of Maringá, Maringá, Brazil. - Federal University of Technology - Paraná, Toledo, Brazil. - Federal University of Alagoas, Maceió, Brazil. - Tecgraf Institute, Pontifical Catholic University of Rio de Janeiro, Rio de Janeiro, Brazil.</t>
  </si>
  <si>
    <t>International Conference on Software Maintenance and Evolution (ICSME 2020)</t>
  </si>
  <si>
    <t>microservice architecture, legacy systems, microservice identification, search-based software engineering</t>
  </si>
  <si>
    <t>10.1109/ICSME46990.2020.00060</t>
  </si>
  <si>
    <t>Cohesion, Modularity, Coupling, Reusability, Network Overhead</t>
  </si>
  <si>
    <t>Static Analysis, Dynamic Analysis, Domain-Driven</t>
  </si>
  <si>
    <t>Static Analysis, Data-Driven, ML/OPT</t>
  </si>
  <si>
    <t>Automated Microservice Identification in Legacy Systems with Functional and Non-Functional Metrics</t>
  </si>
  <si>
    <t>Zhang, Yukun; Liu, Bo; Dai, Liyun; Chen, Kang; Cao, Xuelian</t>
  </si>
  <si>
    <t>Nanjing University of Aeronautics and Astronautics Nanjing, China - RISE, Southwest University Chongqing, China</t>
  </si>
  <si>
    <t>International Conderence on Software Architecture (ICSA 2020)</t>
  </si>
  <si>
    <t>10.1109/ICSA47634.2020.00021</t>
  </si>
  <si>
    <t>Performance</t>
  </si>
  <si>
    <t>Microservice Migration Using Strangler Fig Pattern: A Case Study on the Green Button System</t>
  </si>
  <si>
    <t>Li, Chia-Yu; Ma, Shang-Pin; Lu, Tsung-Wen</t>
  </si>
  <si>
    <t>Department of Computer Science and Engineering National Taiwan Ocean University Keelung, Taiwan</t>
  </si>
  <si>
    <t>2020 International Computer Symposium (ICS)</t>
  </si>
  <si>
    <t>Microservice, Architecture Migration, Strangler Fig Pattern, Strangler Fig Application, Domain-Driven Design</t>
  </si>
  <si>
    <t>10.1109/ICS51289.2020.00107</t>
  </si>
  <si>
    <t>Data Consistency</t>
  </si>
  <si>
    <t>Packaging</t>
  </si>
  <si>
    <t>Decomposing Monolithic Systems to Microservices</t>
  </si>
  <si>
    <t>Sheikh, Athar; Bs, Anisha</t>
  </si>
  <si>
    <t>Department of Information Science and Engineering RV College of Engineering Bengaluru, Karnataka, India</t>
  </si>
  <si>
    <t>2020 3rd International Conference on Computer and Informatics Engineering (IC2IE)</t>
  </si>
  <si>
    <t>micro services, micro service slicing, micro service decomposition, micro service migration</t>
  </si>
  <si>
    <t>10.1109/IC2IE50715.2020.9274641</t>
  </si>
  <si>
    <t>Coupling</t>
  </si>
  <si>
    <t>Towards Decomposing Monolithic Applications into Microservices</t>
  </si>
  <si>
    <t>Kuryazov, Dilshodbek; Jabborov, Dilshod; Khujamuratov, Bekmurod</t>
  </si>
  <si>
    <t>Software Engineering Department Urgench branch of Tashkent University of Information Technologies named after Muhammad al-Khwarizmi Urgench, Uzbekistan</t>
  </si>
  <si>
    <t>14th International Conference on Application of Information and Communication Technologies (AICT 2020)</t>
  </si>
  <si>
    <t>Monolithic Software, Migration, Microservice Architecture, Microservices, Sustainability</t>
  </si>
  <si>
    <t>10.1109/AICT50176.2020.9368571</t>
  </si>
  <si>
    <t>Steinmetz: Toward automatic decomposition of monolithic software into microservices</t>
  </si>
  <si>
    <t>LÃ¶hnertz, J.; Oprescu, A.M.</t>
  </si>
  <si>
    <t>Picnic Technologies Amsterdam, Netherlands, University of Amsterdam, Netherlands</t>
  </si>
  <si>
    <t>Coupling, Modularity</t>
  </si>
  <si>
    <t>Comprehension, Microservices Identification, Microservices Assessment</t>
  </si>
  <si>
    <t>Partial Migration for Re-architecting a Cloud Native Monolithic Application into Microservices and FaaS</t>
  </si>
  <si>
    <t>Bajaj, D.; Bharti, U.; Goel, A.; Gupta, S.C.</t>
  </si>
  <si>
    <t>Department of Computer Science, Shaheed Rajguru College of Applied Sciences for Women, University of Delhi, Delhi, India - Department of Computer Science, Dyal Singh College, University of Delhi, Delhi, India - Department of Computer Science, Indian Institute of Technology, Delhi, India</t>
  </si>
  <si>
    <t>microservices, decomposition, refactoring, k-means clusering algorithm, web access log mining, microservices architecture, faas, serverless</t>
  </si>
  <si>
    <t>10.1007/978-981-15-9671-1_9</t>
  </si>
  <si>
    <t>Scalability, Performance</t>
  </si>
  <si>
    <t>Automatic Microservices Identification from a Set of Business Processes</t>
  </si>
  <si>
    <t>Daoud, M.; Mezouari, A.E.; Faci, N.; Benslimane, D.; Maamar, Z.; Fazziki, A.E.</t>
  </si>
  <si>
    <t>Claude Bernard Lyon 1 University, Lyon, France - Caddi Ayyad University, Marrakesh, Morocco - Zayed University, Dubai, U.A.E</t>
  </si>
  <si>
    <t>Business Process, Control dependencies, Data dependencies, Microservice.</t>
  </si>
  <si>
    <t>10.1007/978-3-030-45183-7_23</t>
  </si>
  <si>
    <t>Granularity, Coupling, Cohesion</t>
  </si>
  <si>
    <t>Service Candidate Identification from Monolithic Systems Based on Execution Traces</t>
  </si>
  <si>
    <t>Jin, Wuxia; Liu, Ting; Cai, Yuanfang; Kazman, Rick; Mo, Ran; Zheng, Qinghua</t>
  </si>
  <si>
    <t>IEEE TRANSACTIONS ON SOFTWARE ENGINEERING</t>
  </si>
  <si>
    <t>Microservice, monolith decomposition, service candidate, execution trace, functionality, modularity, evolvability</t>
  </si>
  <si>
    <t>10.1109/TSE.2019.2910531</t>
  </si>
  <si>
    <t>Functionality, Modularity, Evolvability</t>
  </si>
  <si>
    <t>Identification of Microservices from Monolithic Applications through Topic Modelling</t>
  </si>
  <si>
    <t>Brito, Miguel; Cunha, JÃ¡come; Saraiva, JoÃ£o</t>
  </si>
  <si>
    <t>University of Minho &amp; HASLab/INESC Tec Portugal</t>
  </si>
  <si>
    <t>SAC '21</t>
  </si>
  <si>
    <t>10.1145/3412841.3442016</t>
  </si>
  <si>
    <t>Modularity</t>
  </si>
  <si>
    <t>A Multi-Criteria Strategy for Redesigning Legacy Features as Microservices: An Industrial Case Study</t>
  </si>
  <si>
    <t>AssunÃ§Ã£o, Wesley K. G.; Colanzi, Thelma Elita; Carvalho, Luiz; Pereira, Juliana Alves; Garcia, Alessandro; de Lima, Maria Julia; Lucena, Carlos</t>
  </si>
  <si>
    <t>DI – Pontifical Catholic University of Rio de Janeiro, Rio de Janeiro, Brazil. - PPGComp – Western Paraná State University, Cascavel, Brazil. - DIN – State University of Maringá, Maringá, Brazil. - Tecgraf Institute – Pontifical Catholic University of Rio de Janeiro, Rio de Janeiro, Brazil.</t>
  </si>
  <si>
    <t>International Conference on Software Analysis, Evolution, and Reengineering (SANER 2021)</t>
  </si>
  <si>
    <t>microservice architecture, legacy systems, software evolution, search-based software engineering.</t>
  </si>
  <si>
    <t>10.1109/SANER50967.2021.00042</t>
  </si>
  <si>
    <t>Coupling, Cohesion, Modularity, Network Overhead</t>
  </si>
  <si>
    <t>Sustaining Runtime Performance While Incrementally Modernizing Transactional Monolithic Software towards Microservices</t>
  </si>
  <si>
    <t>Knoche, Holger</t>
  </si>
  <si>
    <t>Software Engineering Group Kiel University</t>
  </si>
  <si>
    <t>ICPE '16</t>
  </si>
  <si>
    <t>10.1145/2851553.2892039</t>
  </si>
  <si>
    <t>Static Analysis, Dynamic Analysis, Model-Driven, Domain-Driven</t>
  </si>
  <si>
    <t>Model-Driven, Domain-Driven</t>
  </si>
  <si>
    <t>Microservices identification through interface analysis</t>
  </si>
  <si>
    <t>Baresi, L.; Garriga, M.; De Renzis, A.</t>
  </si>
  <si>
    <t>10.1007/978-3-319-67262-5_2</t>
  </si>
  <si>
    <t>MicroValid: A Validation Framework for Automatically Decomposed Microservices</t>
  </si>
  <si>
    <t>Cojocaru, Michel; Uta, Alexandru; Oprescu, Ana-Maria</t>
  </si>
  <si>
    <t>Universiteit van Amsterdam - Vrije Universiteit Amsterdam</t>
  </si>
  <si>
    <t>2019 IEEE International Conference on Cloud Computing Technology and Science (CloudCom)</t>
  </si>
  <si>
    <t>microservices, decomposition, validation, coefficient of variation, granularity, coupling, cohesion</t>
  </si>
  <si>
    <t>10.1109/CloudCom.2019.00023</t>
  </si>
  <si>
    <t>SEARCH STRING TERMS AND SYNONYMS</t>
  </si>
  <si>
    <t>SEARCH STRING</t>
  </si>
  <si>
    <t>micro service, microservice</t>
  </si>
  <si>
    <t>("micro service" OR "microservice" OR "serverless" OR "lambda function" OR "function as service" OR "FaaS" OR "cloud function" OR "utility computing") AND ((("system" OR "software") AND ("evolution" OR "trasformation" OR "refactoring" OR "rearchitect*" OR "re architect*" OR "reengineer*" OR "re engineer*" OR "migration" OR "modernization" OR "decomposition" OR "modularization")) OR (("service" OR "microservice" OR "micro service") AND "identification"))</t>
  </si>
  <si>
    <t>serverless, lambda function, function as service, FaaS, cloud function, utility computing</t>
  </si>
  <si>
    <t>system, software</t>
  </si>
  <si>
    <t>evolution, trasformation, refactoring, rearchitect*, "re architect*, reengineer*, re engineer*, migration, modernization, decomposition, modularization</t>
  </si>
  <si>
    <t>identification</t>
  </si>
  <si>
    <t>PHASE DESCRIPTION</t>
  </si>
  <si>
    <t>ACCEPTANCE CRITERIA</t>
  </si>
  <si>
    <t>P1</t>
  </si>
  <si>
    <t>Title and Abstract reading</t>
  </si>
  <si>
    <t>IC Sutisfied</t>
  </si>
  <si>
    <t>P2</t>
  </si>
  <si>
    <t>Title, Abstract, Introduciton and Conclusions reading</t>
  </si>
  <si>
    <t>IC Sutisfied and EC Not Sutisfied</t>
  </si>
  <si>
    <t>P3</t>
  </si>
  <si>
    <t>Fulll reading</t>
  </si>
  <si>
    <t>RQs</t>
  </si>
  <si>
    <t>INCLUSION CRITERIA</t>
  </si>
  <si>
    <t>Status</t>
  </si>
  <si>
    <t>Phase 1</t>
  </si>
  <si>
    <t>Phase 2</t>
  </si>
  <si>
    <t>Phase 3</t>
  </si>
  <si>
    <t>IC1</t>
  </si>
  <si>
    <t>The paper refers to migration to microservices architecture or cloud platform</t>
  </si>
  <si>
    <t>Reading</t>
  </si>
  <si>
    <t>IC2</t>
  </si>
  <si>
    <t>The paper refers to a case study in migration to microservices architecture or cloud platform</t>
  </si>
  <si>
    <t>IC3</t>
  </si>
  <si>
    <t>The paper refers to quality aspects in migration to microservices architecture or cloud platform</t>
  </si>
  <si>
    <t>Rejected</t>
  </si>
  <si>
    <t>IC4</t>
  </si>
  <si>
    <t>The paper refers to microservices identification from existing system</t>
  </si>
  <si>
    <t>Total</t>
  </si>
  <si>
    <t>EXCLUSION CRITERIA</t>
  </si>
  <si>
    <t>EC1</t>
  </si>
  <si>
    <t>PDF not Available</t>
  </si>
  <si>
    <t>EC2</t>
  </si>
  <si>
    <t>Paper not in English</t>
  </si>
  <si>
    <t>EC3</t>
  </si>
  <si>
    <t>Not Primary Study</t>
  </si>
  <si>
    <t>RESEARCH QUESTIONS</t>
  </si>
  <si>
    <t xml:space="preserve">What is the trend in system migration to microservices from 2015 till now? </t>
  </si>
  <si>
    <t>RQ1.1</t>
  </si>
  <si>
    <t>What are the software architectures of the systems that have been migrated to microservices?</t>
  </si>
  <si>
    <t>RQ1.2</t>
  </si>
  <si>
    <t>What are the programming languages of systems migrated to microservices?</t>
  </si>
  <si>
    <t>RQ1.3</t>
  </si>
  <si>
    <t>Which are the domains of the system migrated to microservices?</t>
  </si>
  <si>
    <t>Are there any studies that address the problem of migration to microservices considering the quality aspects?</t>
  </si>
  <si>
    <t>RQ2.1</t>
  </si>
  <si>
    <t>What are the quality attributes of the system considered?</t>
  </si>
  <si>
    <t>RQ2.2</t>
  </si>
  <si>
    <t>At what stage of the migration to microservices are quality aspects considered?</t>
  </si>
  <si>
    <t>Which of the three steps for the migration to microservices did the researchers focus on?</t>
  </si>
  <si>
    <t>RQ3.1</t>
  </si>
  <si>
    <t>What techniques and tools are used for the comprehension phase of the system to be migrated?</t>
  </si>
  <si>
    <t>RQ3.2</t>
  </si>
  <si>
    <t>What techniques and tools are used for the microservices identification phase of the system to be migrated?</t>
  </si>
  <si>
    <t>What techniques and tools are used for the packaging phase of the new microservice-based system?</t>
  </si>
  <si>
    <t>ATTRIBUTE NAME</t>
  </si>
  <si>
    <t>TYPE</t>
  </si>
  <si>
    <t>VALUES SET</t>
  </si>
  <si>
    <t>DESCRIPTION</t>
  </si>
  <si>
    <t>GEN-1</t>
  </si>
  <si>
    <t>Open</t>
  </si>
  <si>
    <t>Unique Identifier of the study</t>
  </si>
  <si>
    <t>GEN-2</t>
  </si>
  <si>
    <t>Single</t>
  </si>
  <si>
    <t>{conference paper, journal article}</t>
  </si>
  <si>
    <t>Type of the study associated by the Digital Library.</t>
  </si>
  <si>
    <t>GEN-3</t>
  </si>
  <si>
    <t>{2015-2021}</t>
  </si>
  <si>
    <t>Year of publication of the study as reported by the Digital Library.</t>
  </si>
  <si>
    <t>GEN-4</t>
  </si>
  <si>
    <t>Title of the downloaded study.</t>
  </si>
  <si>
    <t>GEN-5</t>
  </si>
  <si>
    <t>Authors</t>
  </si>
  <si>
    <t>List of authors of the study.</t>
  </si>
  <si>
    <t>GEN-6</t>
  </si>
  <si>
    <t>List of the institutions of the study as reported in the article itself.</t>
  </si>
  <si>
    <t>GEN-7</t>
  </si>
  <si>
    <t>Acronym and complete name of the venue in which the study has been published.</t>
  </si>
  <si>
    <t>GEN-8</t>
  </si>
  <si>
    <t>Page  Count</t>
  </si>
  <si>
    <t>Number of pages of the study.</t>
  </si>
  <si>
    <t>GEN-9</t>
  </si>
  <si>
    <t>Keywords as they appear in the downloaded study or in the Digital Library.</t>
  </si>
  <si>
    <t>GEN-10</t>
  </si>
  <si>
    <t>DOI of the paper.</t>
  </si>
  <si>
    <t xml:space="preserve">RQ1 </t>
  </si>
  <si>
    <t>MT-1</t>
  </si>
  <si>
    <t>{Migration to Microservices, Migration to Cloud, Migration to Cloud Microservices, Migration to Microservices and quality, Migration to Cloud and Quality, Migration to Cloud Microservices and Quality}</t>
  </si>
  <si>
    <t>Describes the main topic of the study.</t>
  </si>
  <si>
    <t>QA-1</t>
  </si>
  <si>
    <t>Multiple</t>
  </si>
  <si>
    <t>List of Quality Attributes considered in the work.</t>
  </si>
  <si>
    <t>QA-2</t>
  </si>
  <si>
    <t>{Comprehension, MS Identification, MS Packaging, MS Assessment}</t>
  </si>
  <si>
    <t>Phase of the migration in which Quality Attributes are considered.</t>
  </si>
  <si>
    <t>MS-1</t>
  </si>
  <si>
    <t>System Comprehansion Approach</t>
  </si>
  <si>
    <t>{Static Analysis, Dynamic Analysis, Model-Driven Analysis, Data-Driven Analysis, Domain-Driven Analysis}</t>
  </si>
  <si>
    <t>Describes the techniques used for the comprehension of the system.</t>
  </si>
  <si>
    <t>MS-3</t>
  </si>
  <si>
    <t>MS Identification Approach</t>
  </si>
  <si>
    <t>{Static Analysis, Dynamic Analysis, Model-Driven Analysis, Data-Driven Analysis, Domain-Driven Analysis, Machine Learning/Optimization Driven}</t>
  </si>
  <si>
    <t>Describes the techniques used for the microservices identification.</t>
  </si>
  <si>
    <t>MS-5</t>
  </si>
  <si>
    <t>Describes the techniques used for the packaging of the system.</t>
  </si>
  <si>
    <t>MT1 - Main Topic - Values</t>
  </si>
  <si>
    <t>Description</t>
  </si>
  <si>
    <t>The paper refers to migration to microservices</t>
  </si>
  <si>
    <t>The paper refers to migration to cloud</t>
  </si>
  <si>
    <t>Migration to cloud-based Microservices</t>
  </si>
  <si>
    <t>The paper refers to migration to cloud-based microservices</t>
  </si>
  <si>
    <t>The paper refers to migration to microservices considering quality attributes in at least one migration phase</t>
  </si>
  <si>
    <t>The paper refers to migration to cloud considering quality attributes in at least one migration phase</t>
  </si>
  <si>
    <t>Migration to cloud-based Microservices and Quality</t>
  </si>
  <si>
    <t>The paper refers to migration to cloud-based microservices considering quality attributes in at least one migration phase</t>
  </si>
  <si>
    <t>MS-1 - System Comprehension Approach Values</t>
  </si>
  <si>
    <t>The comprehension has been done analysing: code, dependences, classes, methods, packages, files, directories, text analysis</t>
  </si>
  <si>
    <t>The comprehension has been done analysing: logs, traces, use case testing, user experience testing, user stories testing</t>
  </si>
  <si>
    <t>Model-Driven Analysis</t>
  </si>
  <si>
    <t>The comprehension has been done using models and meta-models of the system</t>
  </si>
  <si>
    <t>Data-Driven Analysis</t>
  </si>
  <si>
    <t>The comprehension has been done analysing data</t>
  </si>
  <si>
    <t>Domain-Driven Analysis</t>
  </si>
  <si>
    <t>The comprehension has been done analysing: boundend context, business process, requirements analysis</t>
  </si>
  <si>
    <t>MS-3 - Microservices Identidication Approach Values</t>
  </si>
  <si>
    <t>The microservices identification approach is based on: code, dependences, classes, methods, packages, files, directories, text analysis</t>
  </si>
  <si>
    <t>The microservices identification approach is based on: logs, traces, use case testing, user experience testing, user stories testing</t>
  </si>
  <si>
    <t>The microservices identification approach is based on: models and meta-models of the system</t>
  </si>
  <si>
    <t>The microservices identification approach is based on data</t>
  </si>
  <si>
    <t>The microservices identification approach is based on: boundend context, business process, requirements analysis</t>
  </si>
  <si>
    <t>Machine Learning/Optimization Driven</t>
  </si>
  <si>
    <t>The microservices identification approach is based on clustering techniques</t>
  </si>
  <si>
    <t>QA-2 - Migration Phase</t>
  </si>
  <si>
    <t>Quality Attributes are considered in the Comprehension Phase</t>
  </si>
  <si>
    <t>MS Identification</t>
  </si>
  <si>
    <t>Quality Attributes are considered in the Micoservices Identification Phase</t>
  </si>
  <si>
    <t>MS Packaging</t>
  </si>
  <si>
    <t>Quality Attributes are considered in the Packaging Phase</t>
  </si>
  <si>
    <t>MS Assessment</t>
  </si>
  <si>
    <t>Quality Attributes are considered after the microservices implementation</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</si>
</sst>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font>
    <font>
      <b/>
      <sz val="11.0"/>
      <color theme="1"/>
      <name val="Calibri"/>
    </font>
    <font/>
    <font>
      <sz val="11.0"/>
      <color theme="1"/>
      <name val="Calibri"/>
    </font>
    <font>
      <u/>
      <sz val="11.0"/>
      <color theme="1"/>
    </font>
    <font>
      <sz val="11.0"/>
      <color theme="0"/>
      <name val="Calibri"/>
    </font>
    <font>
      <b/>
      <sz val="11.0"/>
      <color rgb="FFFA7D00"/>
      <name val="Calibri"/>
    </font>
    <font>
      <b/>
      <sz val="11.0"/>
      <color theme="0"/>
      <name val="Calibri"/>
    </font>
    <font>
      <b/>
      <sz val="11.0"/>
      <color rgb="FF006100"/>
      <name val="Calibri"/>
    </font>
    <font>
      <b/>
      <sz val="11.0"/>
      <color rgb="FFFFFF00"/>
      <name val="Calibri"/>
    </font>
    <font>
      <b/>
      <sz val="11.0"/>
      <color rgb="FF9C0006"/>
      <name val="Calibri"/>
    </font>
    <font>
      <b/>
      <sz val="12.0"/>
      <color theme="1"/>
      <name val="Calibri"/>
    </font>
    <font>
      <b/>
      <sz val="12.0"/>
      <color rgb="FFFF0000"/>
      <name val="Calibri"/>
    </font>
    <font>
      <b/>
      <sz val="11.0"/>
      <color rgb="FF3F3F76"/>
      <name val="Calibri"/>
    </font>
  </fonts>
  <fills count="8">
    <fill>
      <patternFill patternType="none"/>
    </fill>
    <fill>
      <patternFill patternType="lightGray"/>
    </fill>
    <fill>
      <patternFill patternType="solid">
        <fgColor theme="0"/>
        <bgColor theme="0"/>
      </patternFill>
    </fill>
    <fill>
      <patternFill patternType="solid">
        <fgColor rgb="FFFFFFCC"/>
        <bgColor rgb="FFFFFFCC"/>
      </patternFill>
    </fill>
    <fill>
      <patternFill patternType="solid">
        <fgColor rgb="FFC6EFCE"/>
        <bgColor rgb="FFC6EFCE"/>
      </patternFill>
    </fill>
    <fill>
      <patternFill patternType="solid">
        <fgColor rgb="FFFFC7CE"/>
        <bgColor rgb="FFFFC7CE"/>
      </patternFill>
    </fill>
    <fill>
      <patternFill patternType="solid">
        <fgColor rgb="FFA5A5A5"/>
        <bgColor rgb="FFA5A5A5"/>
      </patternFill>
    </fill>
    <fill>
      <patternFill patternType="solid">
        <fgColor rgb="FFFFCC99"/>
        <bgColor rgb="FFFFCC99"/>
      </patternFill>
    </fill>
  </fills>
  <borders count="2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double">
        <color rgb="FFFF8001"/>
      </bottom>
    </border>
    <border>
      <left/>
      <top/>
    </border>
    <border>
      <top/>
    </border>
    <border>
      <right/>
      <top/>
    </border>
    <border>
      <left/>
    </border>
    <border>
      <right/>
    </border>
    <border>
      <left/>
      <bottom/>
    </border>
    <border>
      <bottom/>
    </border>
    <border>
      <right/>
      <bottom/>
    </border>
    <border>
      <left/>
      <right/>
      <top/>
      <bottom/>
    </border>
    <border>
      <bottom style="double">
        <color rgb="FF000000"/>
      </bottom>
    </border>
    <border>
      <left style="double">
        <color rgb="FF3F3F3F"/>
      </left>
      <right style="double">
        <color rgb="FF3F3F3F"/>
      </right>
      <top style="double">
        <color rgb="FF3F3F3F"/>
      </top>
      <bottom style="double">
        <color rgb="FF3F3F3F"/>
      </bottom>
    </border>
    <border>
      <left style="thin">
        <color rgb="FF7F7F7F"/>
      </left>
      <right style="thin">
        <color rgb="FF7F7F7F"/>
      </right>
      <top style="thin">
        <color rgb="FF7F7F7F"/>
      </top>
      <bottom style="thin">
        <color rgb="FF7F7F7F"/>
      </bottom>
    </border>
    <border>
      <left style="double">
        <color rgb="FF3F3F3F"/>
      </left>
      <top style="double">
        <color rgb="FF3F3F3F"/>
      </top>
      <bottom style="double">
        <color rgb="FF3F3F3F"/>
      </bottom>
    </border>
    <border>
      <top style="double">
        <color rgb="FF3F3F3F"/>
      </top>
      <bottom style="double">
        <color rgb="FF3F3F3F"/>
      </bottom>
    </border>
    <border>
      <right style="double">
        <color rgb="FF3F3F3F"/>
      </right>
      <top style="double">
        <color rgb="FF3F3F3F"/>
      </top>
      <bottom style="double">
        <color rgb="FF3F3F3F"/>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2" fontId="1" numFmtId="0" xfId="0" applyAlignment="1" applyBorder="1" applyFont="1">
      <alignment horizontal="center" readingOrder="0" vertical="center"/>
    </xf>
    <xf borderId="4" fillId="2" fontId="1" numFmtId="0" xfId="0" applyAlignment="1" applyBorder="1" applyFont="1">
      <alignment horizontal="center" shrinkToFit="0" vertical="center" wrapText="1"/>
    </xf>
    <xf borderId="4" fillId="2" fontId="1" numFmtId="0" xfId="0" applyAlignment="1" applyBorder="1" applyFont="1">
      <alignment horizontal="center" shrinkToFit="0" vertical="center" wrapText="0"/>
    </xf>
    <xf borderId="4" fillId="2" fontId="1" numFmtId="0" xfId="0" applyAlignment="1" applyBorder="1" applyFont="1">
      <alignment horizontal="center" readingOrder="0" shrinkToFit="0" vertical="center" wrapText="1"/>
    </xf>
    <xf borderId="4" fillId="2" fontId="3" numFmtId="0" xfId="0" applyAlignment="1" applyBorder="1" applyFont="1">
      <alignment horizontal="center" vertical="center"/>
    </xf>
    <xf borderId="4" fillId="2" fontId="3" numFmtId="0" xfId="0" applyAlignment="1" applyBorder="1" applyFont="1">
      <alignment horizontal="center" shrinkToFit="0" vertical="center" wrapText="1"/>
    </xf>
    <xf borderId="4" fillId="2" fontId="4" numFmtId="0" xfId="0" applyAlignment="1" applyBorder="1" applyFont="1">
      <alignment horizontal="left" shrinkToFit="0" vertical="center" wrapText="1"/>
    </xf>
    <xf borderId="4" fillId="2" fontId="3" numFmtId="0" xfId="0" applyAlignment="1" applyBorder="1" applyFont="1">
      <alignment horizontal="center" shrinkToFit="0" vertical="center" wrapText="0"/>
    </xf>
    <xf borderId="4" fillId="2" fontId="3" numFmtId="49" xfId="0" applyAlignment="1" applyBorder="1" applyFont="1" applyNumberFormat="1">
      <alignment horizontal="center" shrinkToFit="0" vertical="center" wrapText="0"/>
    </xf>
    <xf borderId="4" fillId="2" fontId="3" numFmtId="49" xfId="0" applyAlignment="1" applyBorder="1" applyFont="1" applyNumberFormat="1">
      <alignment horizontal="center" shrinkToFit="0" vertical="center" wrapText="1"/>
    </xf>
    <xf borderId="4" fillId="2" fontId="3" numFmtId="0" xfId="0" applyAlignment="1" applyBorder="1" applyFont="1">
      <alignment horizontal="center" readingOrder="0" shrinkToFit="0" vertical="center" wrapText="1"/>
    </xf>
    <xf borderId="0" fillId="0" fontId="3" numFmtId="0" xfId="0" applyAlignment="1" applyFont="1">
      <alignment shrinkToFit="0" vertical="center" wrapText="1"/>
    </xf>
    <xf borderId="0" fillId="0" fontId="5" numFmtId="0" xfId="0" applyAlignment="1" applyFont="1">
      <alignment horizontal="center" shrinkToFit="0" vertical="center" wrapText="1"/>
    </xf>
    <xf borderId="5" fillId="0" fontId="6" numFmtId="0" xfId="0" applyAlignment="1" applyBorder="1" applyFont="1">
      <alignment horizontal="center" shrinkToFit="0" vertical="center" wrapText="1"/>
    </xf>
    <xf borderId="5" fillId="0" fontId="2" numFmtId="0" xfId="0" applyBorder="1" applyFont="1"/>
    <xf borderId="0" fillId="0" fontId="3" numFmtId="0" xfId="0" applyAlignment="1" applyFont="1">
      <alignment horizontal="left" shrinkToFit="0" vertical="center" wrapText="1"/>
    </xf>
    <xf borderId="6" fillId="3" fontId="3" numFmtId="0" xfId="0" applyAlignment="1" applyBorder="1" applyFill="1" applyFont="1">
      <alignment horizontal="left" shrinkToFit="0" vertical="center" wrapText="1"/>
    </xf>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0" fillId="0" fontId="3" numFmtId="0" xfId="0" applyAlignment="1" applyFont="1">
      <alignment horizontal="left" shrinkToFit="0" vertical="center" wrapText="1"/>
    </xf>
    <xf borderId="0" fillId="0" fontId="7" numFmtId="0" xfId="0" applyAlignment="1" applyFont="1">
      <alignment horizontal="center" shrinkToFit="0" vertical="center" wrapText="1"/>
    </xf>
    <xf borderId="0" fillId="0" fontId="1" numFmtId="0" xfId="0" applyAlignment="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horizontal="center" shrinkToFit="0" vertical="center" wrapText="1"/>
    </xf>
    <xf borderId="14" fillId="4" fontId="8" numFmtId="0" xfId="0" applyAlignment="1" applyBorder="1" applyFill="1" applyFont="1">
      <alignment horizontal="center" shrinkToFit="0" vertical="center" wrapText="1"/>
    </xf>
    <xf borderId="0" fillId="0" fontId="1"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center" vertical="center"/>
    </xf>
    <xf borderId="0" fillId="0" fontId="3" numFmtId="0" xfId="0" applyAlignment="1" applyFont="1">
      <alignment horizontal="center" shrinkToFit="0" vertical="center" wrapText="1"/>
    </xf>
    <xf borderId="15" fillId="0" fontId="3" numFmtId="0" xfId="0" applyAlignment="1" applyBorder="1" applyFont="1">
      <alignment vertical="center"/>
    </xf>
    <xf borderId="15" fillId="0" fontId="3" numFmtId="0" xfId="0" applyAlignment="1" applyBorder="1" applyFont="1">
      <alignment horizontal="center" vertical="center"/>
    </xf>
    <xf borderId="15" fillId="0" fontId="3" numFmtId="0" xfId="0" applyAlignment="1" applyBorder="1" applyFont="1">
      <alignment horizontal="center" shrinkToFit="0" vertical="center" wrapText="1"/>
    </xf>
    <xf borderId="0" fillId="0" fontId="9" numFmtId="0" xfId="0" applyAlignment="1" applyFont="1">
      <alignment vertical="center"/>
    </xf>
    <xf borderId="14" fillId="5" fontId="10" numFmtId="0" xfId="0" applyAlignment="1" applyBorder="1" applyFill="1" applyFont="1">
      <alignment horizontal="center"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0" fillId="0" fontId="1" numFmtId="49" xfId="0" applyAlignment="1" applyFont="1" applyNumberFormat="1">
      <alignment shrinkToFit="0" vertical="center" wrapText="1"/>
    </xf>
    <xf borderId="16" fillId="6" fontId="7" numFmtId="49" xfId="0" applyAlignment="1" applyBorder="1" applyFill="1" applyFont="1" applyNumberFormat="1">
      <alignment horizontal="center" shrinkToFit="0" vertical="center" wrapText="1"/>
    </xf>
    <xf borderId="16" fillId="6" fontId="7" numFmtId="0" xfId="0" applyAlignment="1" applyBorder="1" applyFont="1">
      <alignment horizontal="center" shrinkToFit="0" vertical="center" wrapText="1"/>
    </xf>
    <xf borderId="0" fillId="0" fontId="1" numFmtId="49" xfId="0" applyAlignment="1" applyFont="1" applyNumberFormat="1">
      <alignment horizontal="center" shrinkToFit="0" vertical="center" wrapText="1"/>
    </xf>
    <xf borderId="17" fillId="7" fontId="13" numFmtId="49" xfId="0" applyAlignment="1" applyBorder="1" applyFill="1" applyFont="1" applyNumberFormat="1">
      <alignment horizontal="center" shrinkToFit="0" vertical="center" wrapText="1"/>
    </xf>
    <xf borderId="18" fillId="6" fontId="7" numFmtId="49" xfId="0" applyAlignment="1" applyBorder="1" applyFont="1" applyNumberFormat="1">
      <alignment horizontal="center" shrinkToFit="0" vertical="center" wrapText="1"/>
    </xf>
    <xf borderId="19" fillId="0" fontId="2" numFmtId="0" xfId="0" applyBorder="1" applyFont="1"/>
    <xf borderId="20" fillId="0" fontId="2" numFmtId="0" xfId="0" applyBorder="1" applyFont="1"/>
    <xf borderId="0" fillId="0" fontId="1" numFmtId="49" xfId="0" applyAlignment="1" applyFont="1" applyNumberFormat="1">
      <alignment horizontal="center" readingOrder="0" shrinkToFit="0" vertical="center" wrapText="1"/>
    </xf>
    <xf borderId="18" fillId="6" fontId="7" numFmtId="0" xfId="0" applyAlignment="1" applyBorder="1" applyFont="1">
      <alignment horizontal="center" shrinkToFit="0" vertical="center" wrapText="1"/>
    </xf>
    <xf borderId="0" fillId="0" fontId="3"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cellXfs>
  <cellStyles count="1">
    <cellStyle xfId="0" name="Normal" builtinId="0"/>
  </cellStyles>
  <dxfs count="23">
    <dxf>
      <font>
        <color rgb="FF9C5700"/>
      </font>
      <fill>
        <patternFill patternType="solid">
          <fgColor rgb="FFFFEB9C"/>
          <bgColor rgb="FFFFEB9C"/>
        </patternFill>
      </fill>
      <border/>
    </dxf>
    <dxf>
      <font>
        <color rgb="FF9C0006"/>
      </font>
      <fill>
        <patternFill patternType="solid">
          <fgColor rgb="FFFFC7CE"/>
          <bgColor rgb="FFFFC7CE"/>
        </patternFill>
      </fill>
      <border/>
    </dxf>
    <dxf>
      <font>
        <color rgb="FF006100"/>
      </font>
      <fill>
        <patternFill patternType="solid">
          <fgColor rgb="FFC6EFCE"/>
          <bgColor rgb="FFC6EFCE"/>
        </patternFill>
      </fill>
      <border/>
    </dxf>
    <dxf>
      <font/>
      <fill>
        <patternFill patternType="none"/>
      </fill>
      <border/>
    </dxf>
    <dxf>
      <font/>
      <fill>
        <patternFill patternType="solid">
          <fgColor theme="6"/>
          <bgColor theme="6"/>
        </patternFill>
      </fill>
      <border/>
    </dxf>
    <dxf>
      <font/>
      <fill>
        <patternFill patternType="solid">
          <fgColor rgb="FFDADADA"/>
          <bgColor rgb="FFDADADA"/>
        </patternFill>
      </fill>
      <border/>
    </dxf>
    <dxf>
      <font/>
      <fill>
        <patternFill patternType="solid">
          <fgColor rgb="FFECECEC"/>
          <bgColor rgb="FFECECEC"/>
        </patternFill>
      </fill>
      <border/>
    </dxf>
    <dxf>
      <font/>
      <fill>
        <patternFill patternType="solid">
          <fgColor theme="4"/>
          <bgColor theme="4"/>
        </patternFill>
      </fill>
      <border/>
    </dxf>
    <dxf>
      <font/>
      <fill>
        <patternFill patternType="solid">
          <fgColor rgb="FFB4C6E7"/>
          <bgColor rgb="FFB4C6E7"/>
        </patternFill>
      </fill>
      <border/>
    </dxf>
    <dxf>
      <font/>
      <fill>
        <patternFill patternType="solid">
          <fgColor rgb="FFD9E2F3"/>
          <bgColor rgb="FFD9E2F3"/>
        </patternFill>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rgb="FFA5A5A5"/>
          <bgColor rgb="FFA5A5A5"/>
        </patternFill>
      </fill>
      <border/>
    </dxf>
    <dxf>
      <font/>
      <fill>
        <patternFill patternType="solid">
          <fgColor theme="5"/>
          <bgColor theme="5"/>
        </patternFill>
      </fill>
      <border/>
    </dxf>
    <dxf>
      <font/>
      <fill>
        <patternFill patternType="solid">
          <fgColor rgb="FFF7CAAC"/>
          <bgColor rgb="FFF7CAAC"/>
        </patternFill>
      </fill>
      <border/>
    </dxf>
    <dxf>
      <font/>
      <fill>
        <patternFill patternType="solid">
          <fgColor rgb="FFFBE4D5"/>
          <bgColor rgb="FFFBE4D5"/>
        </patternFill>
      </fill>
      <border/>
    </dxf>
    <dxf>
      <font/>
      <fill>
        <patternFill patternType="solid">
          <fgColor theme="9"/>
          <bgColor theme="9"/>
        </patternFill>
      </fill>
      <border/>
    </dxf>
    <dxf>
      <font/>
      <fill>
        <patternFill patternType="solid">
          <fgColor rgb="FFC5E0B3"/>
          <bgColor rgb="FFC5E0B3"/>
        </patternFill>
      </fill>
      <border/>
    </dxf>
    <dxf>
      <font/>
      <fill>
        <patternFill patternType="solid">
          <fgColor rgb="FFE2EFD9"/>
          <bgColor rgb="FFE2EFD9"/>
        </patternFill>
      </fill>
      <border/>
    </dxf>
    <dxf>
      <font/>
      <fill>
        <patternFill patternType="solid">
          <fgColor theme="8"/>
          <bgColor theme="8"/>
        </patternFill>
      </fill>
      <border/>
    </dxf>
    <dxf>
      <font/>
      <fill>
        <patternFill patternType="solid">
          <fgColor rgb="FFBDD6EE"/>
          <bgColor rgb="FFBDD6EE"/>
        </patternFill>
      </fill>
      <border/>
    </dxf>
    <dxf>
      <font/>
      <fill>
        <patternFill patternType="solid">
          <fgColor rgb="FFDEEAF6"/>
          <bgColor rgb="FFDEEAF6"/>
        </patternFill>
      </fill>
      <border/>
    </dxf>
    <dxf>
      <font/>
      <fill>
        <patternFill patternType="solid">
          <fgColor theme="7"/>
          <bgColor theme="7"/>
        </patternFill>
      </fill>
      <border/>
    </dxf>
  </dxfs>
  <tableStyles count="15">
    <tableStyle count="3" pivot="0" name="NonDuplicatedDS-style">
      <tableStyleElement dxfId="4" type="headerRow"/>
      <tableStyleElement dxfId="5" type="firstRowStripe"/>
      <tableStyleElement dxfId="6" type="secondRowStripe"/>
    </tableStyle>
    <tableStyle count="3" pivot="0" name="SearchString-Criteria-RQs-style">
      <tableStyleElement dxfId="7" type="headerRow"/>
      <tableStyleElement dxfId="8" type="firstRowStripe"/>
      <tableStyleElement dxfId="9" type="secondRowStripe"/>
    </tableStyle>
    <tableStyle count="3" pivot="0" name="SearchString-Criteria-RQs-style 2">
      <tableStyleElement dxfId="10" type="headerRow"/>
      <tableStyleElement dxfId="11" type="firstRowStripe"/>
      <tableStyleElement dxfId="9" type="secondRowStripe"/>
    </tableStyle>
    <tableStyle count="3" pivot="0" name="SearchString-Criteria-RQs-style 3">
      <tableStyleElement dxfId="10" type="headerRow"/>
      <tableStyleElement dxfId="12" type="firstRowStripe"/>
      <tableStyleElement dxfId="11" type="secondRowStripe"/>
    </tableStyle>
    <tableStyle count="3" pivot="0" name="SearchString-Criteria-RQs-style 4">
      <tableStyleElement dxfId="13" type="headerRow"/>
      <tableStyleElement dxfId="14" type="firstRowStripe"/>
      <tableStyleElement dxfId="15" type="secondRowStripe"/>
    </tableStyle>
    <tableStyle count="3" pivot="0" name="SearchString-Criteria-RQs-style 5">
      <tableStyleElement dxfId="16" type="headerRow"/>
      <tableStyleElement dxfId="17" type="firstRowStripe"/>
      <tableStyleElement dxfId="18" type="secondRowStripe"/>
    </tableStyle>
    <tableStyle count="3" pivot="0" name="SearchString-Criteria-RQs-style 6">
      <tableStyleElement dxfId="19" type="headerRow"/>
      <tableStyleElement dxfId="20" type="firstRowStripe"/>
      <tableStyleElement dxfId="21" type="secondRowStripe"/>
    </tableStyle>
    <tableStyle count="3" pivot="0" name="Parameters and Values-style">
      <tableStyleElement dxfId="4" type="headerRow"/>
      <tableStyleElement dxfId="5" type="firstRowStripe"/>
      <tableStyleElement dxfId="6" type="secondRowStripe"/>
    </tableStyle>
    <tableStyle count="2" pivot="0" name="Parameters and Values-style 2">
      <tableStyleElement dxfId="5" type="firstRowStripe"/>
      <tableStyleElement dxfId="6" type="secondRowStripe"/>
    </tableStyle>
    <tableStyle count="3" pivot="0" name="Parameters and Values-style 3">
      <tableStyleElement dxfId="22" type="headerRow"/>
      <tableStyleElement dxfId="8" type="firstRowStripe"/>
      <tableStyleElement dxfId="9" type="secondRowStripe"/>
    </tableStyle>
    <tableStyle count="3" pivot="0" name="Parameters and Values-style 4">
      <tableStyleElement dxfId="22" type="headerRow"/>
      <tableStyleElement dxfId="8" type="firstRowStripe"/>
      <tableStyleElement dxfId="9" type="secondRowStripe"/>
    </tableStyle>
    <tableStyle count="2" pivot="0" name="Parameters and Values-style 5">
      <tableStyleElement dxfId="5" type="firstRowStripe"/>
      <tableStyleElement dxfId="6" type="secondRowStripe"/>
    </tableStyle>
    <tableStyle count="3" pivot="0" name="Parameters and Values-style 6">
      <tableStyleElement dxfId="22" type="headerRow"/>
      <tableStyleElement dxfId="8" type="firstRowStripe"/>
      <tableStyleElement dxfId="9" type="secondRowStripe"/>
    </tableStyle>
    <tableStyle count="2" pivot="0" name="Parameters and Values-style 7">
      <tableStyleElement dxfId="5" type="firstRowStripe"/>
      <tableStyleElement dxfId="6" type="secondRowStripe"/>
    </tableStyle>
    <tableStyle count="3" pivot="0" name="Parameters and Values-style 8">
      <tableStyleElement dxfId="22" type="headerRow"/>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S60" displayName="Table_1" id="1">
  <tableColumns count="19">
    <tableColumn name="ID" id="1"/>
    <tableColumn name="Item Type" id="2"/>
    <tableColumn name="Publication Year" id="3"/>
    <tableColumn name="Title" id="4"/>
    <tableColumn name="Author" id="5"/>
    <tableColumn name="Institution" id="6"/>
    <tableColumn name="Venue" id="7"/>
    <tableColumn name="Num Pages" id="8"/>
    <tableColumn name="Keywords" id="9"/>
    <tableColumn name="DOI" id="10"/>
    <tableColumn name="Status Phase 1" id="11"/>
    <tableColumn name="Status Phase 2" id="12"/>
    <tableColumn name="Status Phase 3" id="13"/>
    <tableColumn name="Main Topic" id="14"/>
    <tableColumn name="Quality Attributes" id="15"/>
    <tableColumn name="Migration Phase" id="16"/>
    <tableColumn name="System Comprehension Approach" id="17"/>
    <tableColumn name="Mcroservices Identification Approach" id="18"/>
    <tableColumn name="System Packaging Approach" id="19"/>
  </tableColumns>
  <tableStyleInfo name="NonDuplicatedDS-style" showColumnStripes="0" showFirstColumn="1" showLastColumn="1" showRowStripes="1"/>
</table>
</file>

<file path=xl/tables/table2.xml><?xml version="1.0" encoding="utf-8"?>
<table xmlns="http://schemas.openxmlformats.org/spreadsheetml/2006/main" ref="F16:I21" displayName="Table_2" id="2">
  <tableColumns count="4">
    <tableColumn name="Status" id="1"/>
    <tableColumn name="Phase 1" id="2"/>
    <tableColumn name="Phase 2" id="3"/>
    <tableColumn name="Phase 3" id="4"/>
  </tableColumns>
  <tableStyleInfo name="SearchString-Criteria-RQs-style" showColumnStripes="0" showFirstColumn="1" showLastColumn="1" showRowStripes="1"/>
</table>
</file>

<file path=xl/tables/table3.xml><?xml version="1.0" encoding="utf-8"?>
<table xmlns="http://schemas.openxmlformats.org/spreadsheetml/2006/main" ref="C2:C7" displayName="Table_3" id="3">
  <tableColumns count="1">
    <tableColumn name="SEARCH STRING TERMS AND SYNONYMS" id="1"/>
  </tableColumns>
  <tableStyleInfo name="SearchString-Criteria-RQs-style 2" showColumnStripes="0" showFirstColumn="1" showLastColumn="1" showRowStripes="1"/>
</table>
</file>

<file path=xl/tables/table4.xml><?xml version="1.0" encoding="utf-8"?>
<table xmlns="http://schemas.openxmlformats.org/spreadsheetml/2006/main" ref="B10:D13" displayName="Table_4" id="4">
  <tableColumns count="3">
    <tableColumn name="ID" id="1"/>
    <tableColumn name="PHASE DESCRIPTION" id="2"/>
    <tableColumn name="ACCEPTANCE CRITERIA" id="3"/>
  </tableColumns>
  <tableStyleInfo name="SearchString-Criteria-RQs-style 3" showColumnStripes="0" showFirstColumn="1" showLastColumn="1" showRowStripes="1"/>
</table>
</file>

<file path=xl/tables/table5.xml><?xml version="1.0" encoding="utf-8"?>
<table xmlns="http://schemas.openxmlformats.org/spreadsheetml/2006/main" ref="B24:C27" displayName="Table_5" id="5">
  <tableColumns count="2">
    <tableColumn name="ID" id="1"/>
    <tableColumn name="EXCLUSION CRITERIA" id="2"/>
  </tableColumns>
  <tableStyleInfo name="SearchString-Criteria-RQs-style 4" showColumnStripes="0" showFirstColumn="1" showLastColumn="1" showRowStripes="1"/>
</table>
</file>

<file path=xl/tables/table6.xml><?xml version="1.0" encoding="utf-8"?>
<table xmlns="http://schemas.openxmlformats.org/spreadsheetml/2006/main" ref="B16:C20" displayName="Table_6" id="6">
  <tableColumns count="2">
    <tableColumn name="ID" id="1"/>
    <tableColumn name="INCLUSION CRITERIA" id="2"/>
  </tableColumns>
  <tableStyleInfo name="SearchString-Criteria-RQs-style 5" showColumnStripes="0" showFirstColumn="1" showLastColumn="1" showRowStripes="1"/>
</table>
</file>

<file path=xl/tables/table7.xml><?xml version="1.0" encoding="utf-8"?>
<table xmlns="http://schemas.openxmlformats.org/spreadsheetml/2006/main" ref="B31:C42" displayName="Table_7" id="7">
  <tableColumns count="2">
    <tableColumn name="ID" id="1"/>
    <tableColumn name="RESEARCH QUESTIONS" id="2"/>
  </tableColumns>
  <tableStyleInfo name="SearchString-Criteria-RQs-style 6" showColumnStripes="0" showFirstColumn="1" showLastColumn="1" showRowStripes="1"/>
</table>
</file>

<file path=xl/tables/table8.xml><?xml version="1.0" encoding="utf-8"?>
<table xmlns="http://schemas.openxmlformats.org/spreadsheetml/2006/main" ref="B2:F12" displayName="Table_8" id="8">
  <tableColumns count="5">
    <tableColumn name="ID" id="1"/>
    <tableColumn name="ATTRIBUTE NAME" id="2"/>
    <tableColumn name="TYPE" id="3"/>
    <tableColumn name="VALUES SET" id="4"/>
    <tableColumn name="DESCRIPTION" id="5"/>
  </tableColumns>
  <tableStyleInfo name="Parameters and Values-style" showColumnStripes="0" showFirstColumn="1" showLastColumn="1" showRowStripes="1"/>
</table>
</file>

<file path=xl/tables/table9.xml><?xml version="1.0" encoding="utf-8"?>
<table xmlns="http://schemas.openxmlformats.org/spreadsheetml/2006/main" headerRowCount="0" ref="B14:F14" displayName="Table_9" id="9">
  <tableColumns count="5">
    <tableColumn name="Column1" id="1"/>
    <tableColumn name="Column2" id="2"/>
    <tableColumn name="Column3" id="3"/>
    <tableColumn name="Column4" id="4"/>
    <tableColumn name="Column5" id="5"/>
  </tableColumns>
  <tableStyleInfo name="Parameters and Values-style 2" showColumnStripes="0" showFirstColumn="1" showLastColumn="1" showRowStripes="1"/>
</table>
</file>

<file path=xl/tables/table10.xml><?xml version="1.0" encoding="utf-8"?>
<table xmlns="http://schemas.openxmlformats.org/spreadsheetml/2006/main" ref="E36:F41" displayName="Table_10" id="10">
  <tableColumns count="2">
    <tableColumn name="MS-1 - System Comprehension Approach Values" id="1"/>
    <tableColumn name="Description" id="2"/>
  </tableColumns>
  <tableStyleInfo name="Parameters and Values-style 3" showColumnStripes="0" showFirstColumn="1" showLastColumn="1" showRowStripes="1"/>
</table>
</file>

<file path=xl/tables/table11.xml><?xml version="1.0" encoding="utf-8"?>
<table xmlns="http://schemas.openxmlformats.org/spreadsheetml/2006/main" ref="E53:F57" displayName="Table_11" id="11">
  <tableColumns count="2">
    <tableColumn name="QA-2 - Migration Phase" id="1"/>
    <tableColumn name="Description" id="2"/>
  </tableColumns>
  <tableStyleInfo name="Parameters and Values-style 4" showColumnStripes="0" showFirstColumn="1" showLastColumn="1" showRowStripes="1"/>
</table>
</file>

<file path=xl/tables/table12.xml><?xml version="1.0" encoding="utf-8"?>
<table xmlns="http://schemas.openxmlformats.org/spreadsheetml/2006/main" headerRowCount="0" ref="B16:F17" displayName="Table_12" id="12">
  <tableColumns count="5">
    <tableColumn name="Column1" id="1"/>
    <tableColumn name="Column2" id="2"/>
    <tableColumn name="Column3" id="3"/>
    <tableColumn name="Column4" id="4"/>
    <tableColumn name="Column5" id="5"/>
  </tableColumns>
  <tableStyleInfo name="Parameters and Values-style 5" showColumnStripes="0" showFirstColumn="1" showLastColumn="1" showRowStripes="1"/>
</table>
</file>

<file path=xl/tables/table13.xml><?xml version="1.0" encoding="utf-8"?>
<table xmlns="http://schemas.openxmlformats.org/spreadsheetml/2006/main" ref="E25:F31" displayName="Table_13" id="13">
  <tableColumns count="2">
    <tableColumn name="MT1 - Main Topic - Values" id="1"/>
    <tableColumn name="Description" id="2"/>
  </tableColumns>
  <tableStyleInfo name="Parameters and Values-style 6" showColumnStripes="0" showFirstColumn="1" showLastColumn="1" showRowStripes="1"/>
</table>
</file>

<file path=xl/tables/table14.xml><?xml version="1.0" encoding="utf-8"?>
<table xmlns="http://schemas.openxmlformats.org/spreadsheetml/2006/main" headerRowCount="0" ref="B19:F21" displayName="Table_14" id="14">
  <tableColumns count="5">
    <tableColumn name="Column1" id="1"/>
    <tableColumn name="Column2" id="2"/>
    <tableColumn name="Column3" id="3"/>
    <tableColumn name="Column4" id="4"/>
    <tableColumn name="Column5" id="5"/>
  </tableColumns>
  <tableStyleInfo name="Parameters and Values-style 7" showColumnStripes="0" showFirstColumn="1" showLastColumn="1" showRowStripes="1"/>
</table>
</file>

<file path=xl/tables/table15.xml><?xml version="1.0" encoding="utf-8"?>
<table xmlns="http://schemas.openxmlformats.org/spreadsheetml/2006/main" ref="E44:F50" displayName="Table_15" id="15">
  <tableColumns count="2">
    <tableColumn name="MS-3 - Microservices Identidication Approach Values" id="1"/>
    <tableColumn name="Description" id="2"/>
  </tableColumns>
  <tableStyleInfo name="Parameters and Valu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eeexplore.ieee.org/document/9183560" TargetMode="External"/><Relationship Id="rId42" Type="http://schemas.openxmlformats.org/officeDocument/2006/relationships/hyperlink" Target="https://repositum.tuwien.at/handle/20.500.12708/15254" TargetMode="External"/><Relationship Id="rId41" Type="http://schemas.openxmlformats.org/officeDocument/2006/relationships/hyperlink" Target="https://arxiv.org/abs/2007.05948" TargetMode="External"/><Relationship Id="rId44" Type="http://schemas.openxmlformats.org/officeDocument/2006/relationships/hyperlink" Target="https://ieeexplore.ieee.org/abstract/document/9130466" TargetMode="External"/><Relationship Id="rId43" Type="http://schemas.openxmlformats.org/officeDocument/2006/relationships/hyperlink" Target="https://arxiv.org/abs/1908.08513" TargetMode="External"/><Relationship Id="rId46" Type="http://schemas.openxmlformats.org/officeDocument/2006/relationships/hyperlink" Target="https://ieeexplore.ieee.org/document/9101217" TargetMode="External"/><Relationship Id="rId45" Type="http://schemas.openxmlformats.org/officeDocument/2006/relationships/hyperlink" Target="https://ieeexplore.ieee.org/document/9240621" TargetMode="External"/><Relationship Id="rId1" Type="http://schemas.openxmlformats.org/officeDocument/2006/relationships/hyperlink" Target="https://link.springer.com/article/10.1007/s10723-016-9377-8" TargetMode="External"/><Relationship Id="rId2" Type="http://schemas.openxmlformats.org/officeDocument/2006/relationships/hyperlink" Target="https://dl.acm.org/doi/10.1145/3375555.3384380" TargetMode="External"/><Relationship Id="rId3" Type="http://schemas.openxmlformats.org/officeDocument/2006/relationships/hyperlink" Target="https://dl.acm.org/doi/10.1145/3106237.3117767" TargetMode="External"/><Relationship Id="rId4" Type="http://schemas.openxmlformats.org/officeDocument/2006/relationships/hyperlink" Target="https://ieeexplore.ieee.org/document/8844428" TargetMode="External"/><Relationship Id="rId9" Type="http://schemas.openxmlformats.org/officeDocument/2006/relationships/hyperlink" Target="https://dl.acm.org/doi/10.1145/3344948.3344991" TargetMode="External"/><Relationship Id="rId48" Type="http://schemas.openxmlformats.org/officeDocument/2006/relationships/hyperlink" Target="https://ieeexplore.ieee.org/document/9274641" TargetMode="External"/><Relationship Id="rId47" Type="http://schemas.openxmlformats.org/officeDocument/2006/relationships/hyperlink" Target="https://ieeexplore.ieee.org/document/9359092" TargetMode="External"/><Relationship Id="rId49" Type="http://schemas.openxmlformats.org/officeDocument/2006/relationships/hyperlink" Target="https://ieeexplore.ieee.org/document/9368571" TargetMode="External"/><Relationship Id="rId5" Type="http://schemas.openxmlformats.org/officeDocument/2006/relationships/hyperlink" Target="https://ieeexplore.ieee.org/document/9211252" TargetMode="External"/><Relationship Id="rId6" Type="http://schemas.openxmlformats.org/officeDocument/2006/relationships/hyperlink" Target="https://ieeexplore.ieee.org/document/7815609" TargetMode="External"/><Relationship Id="rId7" Type="http://schemas.openxmlformats.org/officeDocument/2006/relationships/hyperlink" Target="https://dl.acm.org/doi/10.1145/3241403.3241440" TargetMode="External"/><Relationship Id="rId8" Type="http://schemas.openxmlformats.org/officeDocument/2006/relationships/hyperlink" Target="https://ieeexplore.ieee.org/document/9101266" TargetMode="External"/><Relationship Id="rId31" Type="http://schemas.openxmlformats.org/officeDocument/2006/relationships/hyperlink" Target="https://ieeexplore.ieee.org/document/8502567" TargetMode="External"/><Relationship Id="rId30" Type="http://schemas.openxmlformats.org/officeDocument/2006/relationships/hyperlink" Target="https://dl.acm.org/doi/10.1145/3275219.3275230" TargetMode="External"/><Relationship Id="rId33" Type="http://schemas.openxmlformats.org/officeDocument/2006/relationships/hyperlink" Target="https://ieeexplore.ieee.org/document/8693253" TargetMode="External"/><Relationship Id="rId32" Type="http://schemas.openxmlformats.org/officeDocument/2006/relationships/hyperlink" Target="https://link.springer.com/chapter/10.1007/978-3-319-99819-0_5" TargetMode="External"/><Relationship Id="rId35" Type="http://schemas.openxmlformats.org/officeDocument/2006/relationships/hyperlink" Target="https://www.sciencedirect.com/science/article/abs/pii/S0164121219301475" TargetMode="External"/><Relationship Id="rId34" Type="http://schemas.openxmlformats.org/officeDocument/2006/relationships/hyperlink" Target="https://link.springer.com/chapter/10.1007/978-3-030-03596-9_3" TargetMode="External"/><Relationship Id="rId37" Type="http://schemas.openxmlformats.org/officeDocument/2006/relationships/hyperlink" Target="https://link.springer.com/chapter/10.1007/978-3-030-33702-5_5" TargetMode="External"/><Relationship Id="rId36" Type="http://schemas.openxmlformats.org/officeDocument/2006/relationships/hyperlink" Target="https://pp.bme.hu/eecs/article/view/13925" TargetMode="External"/><Relationship Id="rId39" Type="http://schemas.openxmlformats.org/officeDocument/2006/relationships/hyperlink" Target="https://www.semanticscholar.org/paper/Towards-a-Roadmap-for-the-Migration-of-Legacy-to-a-Silva-Carneiro/5a4eed8f52eecfb5f01d005be97d4ed59e9bd6a1" TargetMode="External"/><Relationship Id="rId38" Type="http://schemas.openxmlformats.org/officeDocument/2006/relationships/hyperlink" Target="http://www.taibi.it/node/155" TargetMode="External"/><Relationship Id="rId61" Type="http://schemas.openxmlformats.org/officeDocument/2006/relationships/table" Target="../tables/table1.xml"/><Relationship Id="rId20" Type="http://schemas.openxmlformats.org/officeDocument/2006/relationships/hyperlink" Target="https://arxiv.org/abs/2003.02603" TargetMode="External"/><Relationship Id="rId22" Type="http://schemas.openxmlformats.org/officeDocument/2006/relationships/hyperlink" Target="http://ceur-ws.org/Vol-2620/paper4.pdf" TargetMode="External"/><Relationship Id="rId21" Type="http://schemas.openxmlformats.org/officeDocument/2006/relationships/hyperlink" Target="https://ieeexplore.ieee.org/document/9095626" TargetMode="External"/><Relationship Id="rId24" Type="http://schemas.openxmlformats.org/officeDocument/2006/relationships/hyperlink" Target="https://dl.acm.org/doi/10.1145/3368089.3417933" TargetMode="External"/><Relationship Id="rId23" Type="http://schemas.openxmlformats.org/officeDocument/2006/relationships/hyperlink" Target="https://link.springer.com/chapter/10.1007/978-3-030-45989-5_12" TargetMode="External"/><Relationship Id="rId26" Type="http://schemas.openxmlformats.org/officeDocument/2006/relationships/hyperlink" Target="https://link.springer.com/chapter/10.1007/978-3-030-33246-4_31" TargetMode="External"/><Relationship Id="rId25" Type="http://schemas.openxmlformats.org/officeDocument/2006/relationships/hyperlink" Target="https://dl.acm.org/doi/10.1145/3338840.3355659" TargetMode="External"/><Relationship Id="rId28" Type="http://schemas.openxmlformats.org/officeDocument/2006/relationships/hyperlink" Target="https://ieeexplore.ieee.org/document/8029803" TargetMode="External"/><Relationship Id="rId27" Type="http://schemas.openxmlformats.org/officeDocument/2006/relationships/hyperlink" Target="https://ieeexplore.ieee.org/document/9425836" TargetMode="External"/><Relationship Id="rId29" Type="http://schemas.openxmlformats.org/officeDocument/2006/relationships/hyperlink" Target="https://ieeexplore.ieee.org/document/7958457" TargetMode="External"/><Relationship Id="rId51" Type="http://schemas.openxmlformats.org/officeDocument/2006/relationships/hyperlink" Target="https://link.springer.com/chapter/10.1007/978-981-15-9671-1_9" TargetMode="External"/><Relationship Id="rId50" Type="http://schemas.openxmlformats.org/officeDocument/2006/relationships/hyperlink" Target="https://zenodo.org/record/4280725" TargetMode="External"/><Relationship Id="rId53" Type="http://schemas.openxmlformats.org/officeDocument/2006/relationships/hyperlink" Target="https://ieeexplore.ieee.org/document/8686152" TargetMode="External"/><Relationship Id="rId52" Type="http://schemas.openxmlformats.org/officeDocument/2006/relationships/hyperlink" Target="https://www.springerprofessional.de/en/automatic-microservices-identification-from-a-set-of-business-pr/18047222" TargetMode="External"/><Relationship Id="rId11" Type="http://schemas.openxmlformats.org/officeDocument/2006/relationships/hyperlink" Target="https://ieeexplore.ieee.org/document/8027278" TargetMode="External"/><Relationship Id="rId55" Type="http://schemas.openxmlformats.org/officeDocument/2006/relationships/hyperlink" Target="https://ieeexplore.ieee.org/document/9425875" TargetMode="External"/><Relationship Id="rId10" Type="http://schemas.openxmlformats.org/officeDocument/2006/relationships/hyperlink" Target="https://link.springer.com/chapter/10.1007/978-3-030-14070-0_26" TargetMode="External"/><Relationship Id="rId54" Type="http://schemas.openxmlformats.org/officeDocument/2006/relationships/hyperlink" Target="https://dl.acm.org/doi/10.1145/3412841.3442016" TargetMode="External"/><Relationship Id="rId13" Type="http://schemas.openxmlformats.org/officeDocument/2006/relationships/hyperlink" Target="https://link.springer.com/chapter/10.1007/978-3-319-58943-5_23" TargetMode="External"/><Relationship Id="rId57" Type="http://schemas.openxmlformats.org/officeDocument/2006/relationships/hyperlink" Target="https://link.springer.com/chapter/10.1007/978-3-319-67262-5_2" TargetMode="External"/><Relationship Id="rId12" Type="http://schemas.openxmlformats.org/officeDocument/2006/relationships/hyperlink" Target="https://ieeexplore.ieee.org/document/8305969" TargetMode="External"/><Relationship Id="rId56" Type="http://schemas.openxmlformats.org/officeDocument/2006/relationships/hyperlink" Target="https://dl.acm.org/doi/10.1145/2851553.2892039" TargetMode="External"/><Relationship Id="rId15" Type="http://schemas.openxmlformats.org/officeDocument/2006/relationships/hyperlink" Target="https://dl.acm.org/doi/abs/10.1145/3234152.3234195" TargetMode="External"/><Relationship Id="rId59" Type="http://schemas.openxmlformats.org/officeDocument/2006/relationships/drawing" Target="../drawings/drawing1.xml"/><Relationship Id="rId14" Type="http://schemas.openxmlformats.org/officeDocument/2006/relationships/hyperlink" Target="https://dl.acm.org/doi/abs/10.1145/3241403.3241426" TargetMode="External"/><Relationship Id="rId58" Type="http://schemas.openxmlformats.org/officeDocument/2006/relationships/hyperlink" Target="https://ieeexplore.ieee.org/document/8968869" TargetMode="External"/><Relationship Id="rId17" Type="http://schemas.openxmlformats.org/officeDocument/2006/relationships/hyperlink" Target="https://dl.acm.org/doi/10.5220/0007732101340146" TargetMode="External"/><Relationship Id="rId16" Type="http://schemas.openxmlformats.org/officeDocument/2006/relationships/hyperlink" Target="https://ieeexplore.ieee.org/document/8719439" TargetMode="External"/><Relationship Id="rId19" Type="http://schemas.openxmlformats.org/officeDocument/2006/relationships/hyperlink" Target="https://link.springer.com/chapter/10.1007/978-3-030-29983-5_3" TargetMode="External"/><Relationship Id="rId18" Type="http://schemas.openxmlformats.org/officeDocument/2006/relationships/hyperlink" Target="https://link.springer.com/chapter/10.1007/978-3-030-29983-5_1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9" Type="http://schemas.openxmlformats.org/officeDocument/2006/relationships/table" Target="../tables/table3.xml"/><Relationship Id="rId8" Type="http://schemas.openxmlformats.org/officeDocument/2006/relationships/table" Target="../tables/table2.xml"/><Relationship Id="rId11" Type="http://schemas.openxmlformats.org/officeDocument/2006/relationships/table" Target="../tables/table5.xml"/><Relationship Id="rId10" Type="http://schemas.openxmlformats.org/officeDocument/2006/relationships/table" Target="../tables/table4.xml"/><Relationship Id="rId13" Type="http://schemas.openxmlformats.org/officeDocument/2006/relationships/table" Target="../tables/table7.xml"/><Relationship Id="rId12"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9.xml"/><Relationship Id="rId10" Type="http://schemas.openxmlformats.org/officeDocument/2006/relationships/table" Target="../tables/table8.xml"/><Relationship Id="rId13" Type="http://schemas.openxmlformats.org/officeDocument/2006/relationships/table" Target="../tables/table11.xml"/><Relationship Id="rId12" Type="http://schemas.openxmlformats.org/officeDocument/2006/relationships/table" Target="../tables/table10.xml"/><Relationship Id="rId15" Type="http://schemas.openxmlformats.org/officeDocument/2006/relationships/table" Target="../tables/table13.xml"/><Relationship Id="rId14" Type="http://schemas.openxmlformats.org/officeDocument/2006/relationships/table" Target="../tables/table12.xml"/><Relationship Id="rId17" Type="http://schemas.openxmlformats.org/officeDocument/2006/relationships/table" Target="../tables/table15.xml"/><Relationship Id="rId16"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75"/>
  <cols>
    <col customWidth="1" min="1" max="1" width="6.29"/>
    <col customWidth="1" min="2" max="2" width="20.0"/>
    <col customWidth="1" min="3" max="3" width="14.0"/>
    <col customWidth="1" min="4" max="4" width="81.14"/>
    <col customWidth="1" min="5" max="5" width="44.57"/>
    <col customWidth="1" min="6" max="6" width="39.86"/>
    <col customWidth="1" min="7" max="7" width="35.57"/>
    <col customWidth="1" min="8" max="8" width="6.86"/>
    <col customWidth="1" min="9" max="9" width="28.0"/>
    <col customWidth="1" min="10" max="10" width="34.86"/>
    <col customWidth="1" min="11" max="13" width="9.71"/>
    <col customWidth="1" min="14" max="14" width="66.14"/>
    <col customWidth="1" min="15" max="19" width="20.71"/>
  </cols>
  <sheetData>
    <row r="1" ht="14.25" customHeight="1">
      <c r="A1" s="1" t="s">
        <v>0</v>
      </c>
      <c r="B1" s="2"/>
      <c r="C1" s="2"/>
      <c r="D1" s="2"/>
      <c r="E1" s="2"/>
      <c r="F1" s="2"/>
      <c r="G1" s="2"/>
      <c r="H1" s="2"/>
      <c r="I1" s="2"/>
      <c r="J1" s="2"/>
      <c r="K1" s="2"/>
      <c r="L1" s="2"/>
      <c r="M1" s="3"/>
      <c r="N1" s="4" t="s">
        <v>1</v>
      </c>
      <c r="O1" s="1" t="s">
        <v>2</v>
      </c>
      <c r="P1" s="3"/>
      <c r="Q1" s="1" t="s">
        <v>3</v>
      </c>
      <c r="R1" s="2"/>
      <c r="S1" s="3"/>
    </row>
    <row r="2" ht="14.25" customHeight="1">
      <c r="A2" s="5" t="s">
        <v>4</v>
      </c>
      <c r="B2" s="5" t="s">
        <v>5</v>
      </c>
      <c r="C2" s="5" t="s">
        <v>6</v>
      </c>
      <c r="D2" s="5" t="s">
        <v>7</v>
      </c>
      <c r="E2" s="5" t="s">
        <v>8</v>
      </c>
      <c r="F2" s="5" t="s">
        <v>9</v>
      </c>
      <c r="G2" s="5" t="s">
        <v>10</v>
      </c>
      <c r="H2" s="5" t="s">
        <v>11</v>
      </c>
      <c r="I2" s="5" t="s">
        <v>12</v>
      </c>
      <c r="J2" s="6" t="s">
        <v>13</v>
      </c>
      <c r="K2" s="5" t="s">
        <v>14</v>
      </c>
      <c r="L2" s="5" t="s">
        <v>15</v>
      </c>
      <c r="M2" s="5" t="s">
        <v>16</v>
      </c>
      <c r="N2" s="6" t="s">
        <v>17</v>
      </c>
      <c r="O2" s="7" t="s">
        <v>18</v>
      </c>
      <c r="P2" s="7" t="s">
        <v>19</v>
      </c>
      <c r="Q2" s="5" t="s">
        <v>20</v>
      </c>
      <c r="R2" s="5" t="s">
        <v>21</v>
      </c>
      <c r="S2" s="5" t="s">
        <v>22</v>
      </c>
    </row>
    <row r="3" ht="14.25" customHeight="1">
      <c r="A3" s="8">
        <v>2.0</v>
      </c>
      <c r="B3" s="8" t="s">
        <v>23</v>
      </c>
      <c r="C3" s="9">
        <v>2016.0</v>
      </c>
      <c r="D3" s="10" t="s">
        <v>24</v>
      </c>
      <c r="E3" s="9" t="s">
        <v>25</v>
      </c>
      <c r="F3" s="9"/>
      <c r="G3" s="9" t="s">
        <v>26</v>
      </c>
      <c r="H3" s="9" t="s">
        <v>26</v>
      </c>
      <c r="I3" s="9" t="s">
        <v>27</v>
      </c>
      <c r="J3" s="11" t="s">
        <v>28</v>
      </c>
      <c r="K3" s="9" t="s">
        <v>29</v>
      </c>
      <c r="L3" s="9" t="s">
        <v>30</v>
      </c>
      <c r="M3" s="9" t="s">
        <v>30</v>
      </c>
      <c r="N3" s="12" t="s">
        <v>31</v>
      </c>
      <c r="O3" s="9"/>
      <c r="P3" s="9"/>
      <c r="Q3" s="13"/>
      <c r="R3" s="13"/>
      <c r="S3" s="13"/>
    </row>
    <row r="4" ht="14.25" customHeight="1">
      <c r="A4" s="8">
        <v>45.0</v>
      </c>
      <c r="B4" s="8" t="s">
        <v>32</v>
      </c>
      <c r="C4" s="9">
        <v>2020.0</v>
      </c>
      <c r="D4" s="10" t="s">
        <v>33</v>
      </c>
      <c r="E4" s="9" t="s">
        <v>34</v>
      </c>
      <c r="F4" s="9" t="s">
        <v>35</v>
      </c>
      <c r="G4" s="9" t="s">
        <v>36</v>
      </c>
      <c r="H4" s="9">
        <v>6.0</v>
      </c>
      <c r="I4" s="9" t="s">
        <v>37</v>
      </c>
      <c r="J4" s="11" t="s">
        <v>38</v>
      </c>
      <c r="K4" s="9" t="s">
        <v>30</v>
      </c>
      <c r="L4" s="9" t="s">
        <v>30</v>
      </c>
      <c r="M4" s="9" t="s">
        <v>30</v>
      </c>
      <c r="N4" s="12" t="s">
        <v>39</v>
      </c>
      <c r="O4" s="9" t="s">
        <v>40</v>
      </c>
      <c r="P4" s="14" t="s">
        <v>41</v>
      </c>
      <c r="Q4" s="13"/>
      <c r="R4" s="13" t="s">
        <v>42</v>
      </c>
      <c r="S4" s="13" t="s">
        <v>43</v>
      </c>
    </row>
    <row r="5" ht="14.25" customHeight="1">
      <c r="A5" s="8">
        <v>3.0</v>
      </c>
      <c r="B5" s="8" t="s">
        <v>32</v>
      </c>
      <c r="C5" s="9">
        <v>2017.0</v>
      </c>
      <c r="D5" s="10" t="s">
        <v>44</v>
      </c>
      <c r="E5" s="9" t="s">
        <v>45</v>
      </c>
      <c r="F5" s="9" t="s">
        <v>46</v>
      </c>
      <c r="G5" s="9" t="s">
        <v>47</v>
      </c>
      <c r="H5" s="9">
        <v>14.0</v>
      </c>
      <c r="I5" s="9" t="s">
        <v>48</v>
      </c>
      <c r="J5" s="11" t="s">
        <v>49</v>
      </c>
      <c r="K5" s="9" t="s">
        <v>29</v>
      </c>
      <c r="L5" s="9" t="s">
        <v>30</v>
      </c>
      <c r="M5" s="9" t="s">
        <v>30</v>
      </c>
      <c r="N5" s="12" t="s">
        <v>39</v>
      </c>
      <c r="O5" s="9" t="s">
        <v>50</v>
      </c>
      <c r="P5" s="14" t="s">
        <v>51</v>
      </c>
      <c r="Q5" s="13"/>
      <c r="R5" s="13"/>
      <c r="S5" s="13"/>
    </row>
    <row r="6" ht="14.25" customHeight="1">
      <c r="A6" s="8">
        <v>43.0</v>
      </c>
      <c r="B6" s="8" t="s">
        <v>32</v>
      </c>
      <c r="C6" s="9">
        <v>2019.0</v>
      </c>
      <c r="D6" s="10" t="s">
        <v>52</v>
      </c>
      <c r="E6" s="9" t="s">
        <v>53</v>
      </c>
      <c r="F6" s="9" t="s">
        <v>54</v>
      </c>
      <c r="G6" s="9" t="s">
        <v>55</v>
      </c>
      <c r="H6" s="9">
        <v>8.0</v>
      </c>
      <c r="I6" s="9" t="s">
        <v>56</v>
      </c>
      <c r="J6" s="11" t="s">
        <v>57</v>
      </c>
      <c r="K6" s="9" t="s">
        <v>30</v>
      </c>
      <c r="L6" s="9" t="s">
        <v>30</v>
      </c>
      <c r="M6" s="9" t="s">
        <v>30</v>
      </c>
      <c r="N6" s="12" t="s">
        <v>58</v>
      </c>
      <c r="O6" s="9"/>
      <c r="P6" s="9"/>
      <c r="Q6" s="13" t="s">
        <v>59</v>
      </c>
      <c r="R6" s="13" t="s">
        <v>59</v>
      </c>
      <c r="S6" s="13" t="s">
        <v>43</v>
      </c>
    </row>
    <row r="7" ht="14.25" customHeight="1">
      <c r="A7" s="8">
        <v>50.0</v>
      </c>
      <c r="B7" s="8" t="s">
        <v>32</v>
      </c>
      <c r="C7" s="9">
        <v>2020.0</v>
      </c>
      <c r="D7" s="10" t="s">
        <v>60</v>
      </c>
      <c r="E7" s="9" t="s">
        <v>61</v>
      </c>
      <c r="F7" s="9" t="s">
        <v>62</v>
      </c>
      <c r="G7" s="9" t="s">
        <v>26</v>
      </c>
      <c r="H7" s="9">
        <v>6.0</v>
      </c>
      <c r="I7" s="9" t="s">
        <v>63</v>
      </c>
      <c r="J7" s="11" t="s">
        <v>64</v>
      </c>
      <c r="K7" s="9" t="s">
        <v>30</v>
      </c>
      <c r="L7" s="9" t="s">
        <v>30</v>
      </c>
      <c r="M7" s="9" t="s">
        <v>30</v>
      </c>
      <c r="N7" s="12" t="s">
        <v>58</v>
      </c>
      <c r="O7" s="9"/>
      <c r="P7" s="9"/>
      <c r="Q7" s="13" t="s">
        <v>65</v>
      </c>
      <c r="R7" s="13" t="s">
        <v>66</v>
      </c>
      <c r="S7" s="13" t="s">
        <v>43</v>
      </c>
    </row>
    <row r="8" ht="14.25" customHeight="1">
      <c r="A8" s="8">
        <v>14.0</v>
      </c>
      <c r="B8" s="8" t="s">
        <v>32</v>
      </c>
      <c r="C8" s="9">
        <v>2016.0</v>
      </c>
      <c r="D8" s="10" t="s">
        <v>67</v>
      </c>
      <c r="E8" s="9" t="s">
        <v>68</v>
      </c>
      <c r="F8" s="9" t="s">
        <v>69</v>
      </c>
      <c r="G8" s="9" t="s">
        <v>70</v>
      </c>
      <c r="H8" s="9">
        <v>6.0</v>
      </c>
      <c r="I8" s="9"/>
      <c r="J8" s="11" t="s">
        <v>71</v>
      </c>
      <c r="K8" s="9" t="s">
        <v>30</v>
      </c>
      <c r="L8" s="9" t="s">
        <v>30</v>
      </c>
      <c r="M8" s="9" t="s">
        <v>30</v>
      </c>
      <c r="N8" s="12" t="s">
        <v>72</v>
      </c>
      <c r="O8" s="13" t="s">
        <v>73</v>
      </c>
      <c r="P8" s="14" t="s">
        <v>74</v>
      </c>
      <c r="Q8" s="13" t="s">
        <v>42</v>
      </c>
      <c r="R8" s="13" t="s">
        <v>42</v>
      </c>
      <c r="S8" s="13"/>
    </row>
    <row r="9" ht="14.25" customHeight="1">
      <c r="A9" s="8">
        <v>24.0</v>
      </c>
      <c r="B9" s="8" t="s">
        <v>32</v>
      </c>
      <c r="C9" s="9">
        <v>2018.0</v>
      </c>
      <c r="D9" s="10" t="s">
        <v>75</v>
      </c>
      <c r="E9" s="9" t="s">
        <v>76</v>
      </c>
      <c r="F9" s="9" t="s">
        <v>77</v>
      </c>
      <c r="G9" s="9" t="s">
        <v>78</v>
      </c>
      <c r="H9" s="9">
        <v>4.0</v>
      </c>
      <c r="I9" s="9" t="s">
        <v>79</v>
      </c>
      <c r="J9" s="11" t="s">
        <v>80</v>
      </c>
      <c r="K9" s="9" t="s">
        <v>30</v>
      </c>
      <c r="L9" s="9" t="s">
        <v>30</v>
      </c>
      <c r="M9" s="9" t="s">
        <v>30</v>
      </c>
      <c r="N9" s="12" t="s">
        <v>72</v>
      </c>
      <c r="O9" s="9" t="s">
        <v>81</v>
      </c>
      <c r="P9" s="14" t="s">
        <v>74</v>
      </c>
      <c r="Q9" s="13" t="s">
        <v>82</v>
      </c>
      <c r="R9" s="13" t="s">
        <v>83</v>
      </c>
      <c r="S9" s="13"/>
    </row>
    <row r="10" ht="14.25" customHeight="1">
      <c r="A10" s="8">
        <v>47.0</v>
      </c>
      <c r="B10" s="8" t="s">
        <v>32</v>
      </c>
      <c r="C10" s="9">
        <v>2020.0</v>
      </c>
      <c r="D10" s="10" t="s">
        <v>84</v>
      </c>
      <c r="E10" s="9" t="s">
        <v>85</v>
      </c>
      <c r="F10" s="9" t="s">
        <v>86</v>
      </c>
      <c r="G10" s="9" t="s">
        <v>87</v>
      </c>
      <c r="H10" s="9">
        <v>12.0</v>
      </c>
      <c r="I10" s="9" t="s">
        <v>88</v>
      </c>
      <c r="J10" s="11" t="s">
        <v>89</v>
      </c>
      <c r="K10" s="9" t="s">
        <v>30</v>
      </c>
      <c r="L10" s="9" t="s">
        <v>30</v>
      </c>
      <c r="M10" s="9" t="s">
        <v>30</v>
      </c>
      <c r="N10" s="12" t="s">
        <v>90</v>
      </c>
      <c r="O10" s="9"/>
      <c r="P10" s="9"/>
      <c r="Q10" s="13"/>
      <c r="R10" s="9" t="s">
        <v>91</v>
      </c>
      <c r="S10" s="13"/>
    </row>
    <row r="11" ht="14.25" customHeight="1">
      <c r="A11" s="8">
        <v>9.0</v>
      </c>
      <c r="B11" s="8" t="s">
        <v>32</v>
      </c>
      <c r="C11" s="9">
        <v>2019.0</v>
      </c>
      <c r="D11" s="10" t="s">
        <v>92</v>
      </c>
      <c r="E11" s="9" t="s">
        <v>93</v>
      </c>
      <c r="F11" s="9" t="s">
        <v>94</v>
      </c>
      <c r="G11" s="9" t="s">
        <v>95</v>
      </c>
      <c r="H11" s="9">
        <v>7.0</v>
      </c>
      <c r="I11" s="9" t="s">
        <v>96</v>
      </c>
      <c r="J11" s="11" t="s">
        <v>97</v>
      </c>
      <c r="K11" s="9" t="s">
        <v>29</v>
      </c>
      <c r="L11" s="9" t="s">
        <v>30</v>
      </c>
      <c r="M11" s="9" t="s">
        <v>30</v>
      </c>
      <c r="N11" s="12" t="s">
        <v>90</v>
      </c>
      <c r="O11" s="9"/>
      <c r="P11" s="9"/>
      <c r="Q11" s="13" t="s">
        <v>82</v>
      </c>
      <c r="R11" s="13" t="s">
        <v>42</v>
      </c>
      <c r="S11" s="13"/>
    </row>
    <row r="12" ht="14.25" customHeight="1">
      <c r="A12" s="8">
        <v>10.0</v>
      </c>
      <c r="B12" s="8" t="s">
        <v>23</v>
      </c>
      <c r="C12" s="9">
        <v>2019.0</v>
      </c>
      <c r="D12" s="10" t="s">
        <v>98</v>
      </c>
      <c r="E12" s="9" t="s">
        <v>99</v>
      </c>
      <c r="F12" s="9" t="s">
        <v>100</v>
      </c>
      <c r="G12" s="9" t="s">
        <v>26</v>
      </c>
      <c r="H12" s="9">
        <v>6.0</v>
      </c>
      <c r="I12" s="9" t="s">
        <v>101</v>
      </c>
      <c r="J12" s="11" t="s">
        <v>102</v>
      </c>
      <c r="K12" s="9" t="s">
        <v>29</v>
      </c>
      <c r="L12" s="9" t="s">
        <v>30</v>
      </c>
      <c r="M12" s="9" t="s">
        <v>30</v>
      </c>
      <c r="N12" s="12" t="s">
        <v>90</v>
      </c>
      <c r="O12" s="9"/>
      <c r="P12" s="9"/>
      <c r="Q12" s="13" t="s">
        <v>59</v>
      </c>
      <c r="R12" s="13" t="s">
        <v>103</v>
      </c>
      <c r="S12" s="13"/>
    </row>
    <row r="13" ht="14.25" customHeight="1">
      <c r="A13" s="8">
        <v>16.0</v>
      </c>
      <c r="B13" s="8" t="s">
        <v>32</v>
      </c>
      <c r="C13" s="9">
        <v>2017.0</v>
      </c>
      <c r="D13" s="10" t="s">
        <v>104</v>
      </c>
      <c r="E13" s="9" t="s">
        <v>105</v>
      </c>
      <c r="F13" s="9" t="s">
        <v>106</v>
      </c>
      <c r="G13" s="9" t="s">
        <v>107</v>
      </c>
      <c r="H13" s="9">
        <v>4.0</v>
      </c>
      <c r="I13" s="9" t="s">
        <v>108</v>
      </c>
      <c r="J13" s="11" t="s">
        <v>109</v>
      </c>
      <c r="K13" s="9" t="s">
        <v>30</v>
      </c>
      <c r="L13" s="9" t="s">
        <v>30</v>
      </c>
      <c r="M13" s="9" t="s">
        <v>30</v>
      </c>
      <c r="N13" s="12" t="s">
        <v>90</v>
      </c>
      <c r="O13" s="9"/>
      <c r="P13" s="9"/>
      <c r="Q13" s="13"/>
      <c r="R13" s="13" t="s">
        <v>65</v>
      </c>
      <c r="S13" s="13"/>
    </row>
    <row r="14" ht="14.25" customHeight="1">
      <c r="A14" s="8">
        <v>17.0</v>
      </c>
      <c r="B14" s="8" t="s">
        <v>32</v>
      </c>
      <c r="C14" s="9">
        <v>2017.0</v>
      </c>
      <c r="D14" s="10" t="s">
        <v>110</v>
      </c>
      <c r="E14" s="9" t="s">
        <v>111</v>
      </c>
      <c r="F14" s="9" t="s">
        <v>112</v>
      </c>
      <c r="G14" s="9" t="s">
        <v>113</v>
      </c>
      <c r="H14" s="9">
        <v>10.0</v>
      </c>
      <c r="I14" s="9" t="s">
        <v>114</v>
      </c>
      <c r="J14" s="11" t="s">
        <v>115</v>
      </c>
      <c r="K14" s="9" t="s">
        <v>30</v>
      </c>
      <c r="L14" s="9" t="s">
        <v>30</v>
      </c>
      <c r="M14" s="9" t="s">
        <v>30</v>
      </c>
      <c r="N14" s="12" t="s">
        <v>90</v>
      </c>
      <c r="O14" s="9"/>
      <c r="P14" s="9"/>
      <c r="Q14" s="13" t="s">
        <v>65</v>
      </c>
      <c r="R14" s="13" t="s">
        <v>116</v>
      </c>
      <c r="S14" s="13"/>
    </row>
    <row r="15" ht="14.25" customHeight="1">
      <c r="A15" s="8">
        <v>21.0</v>
      </c>
      <c r="B15" s="8" t="s">
        <v>23</v>
      </c>
      <c r="C15" s="9">
        <v>2017.0</v>
      </c>
      <c r="D15" s="10" t="s">
        <v>117</v>
      </c>
      <c r="E15" s="9" t="s">
        <v>118</v>
      </c>
      <c r="F15" s="9" t="s">
        <v>119</v>
      </c>
      <c r="G15" s="9" t="s">
        <v>120</v>
      </c>
      <c r="H15" s="9">
        <v>12.0</v>
      </c>
      <c r="I15" s="9" t="s">
        <v>121</v>
      </c>
      <c r="J15" s="11" t="s">
        <v>122</v>
      </c>
      <c r="K15" s="9" t="s">
        <v>30</v>
      </c>
      <c r="L15" s="9" t="s">
        <v>30</v>
      </c>
      <c r="M15" s="9" t="s">
        <v>30</v>
      </c>
      <c r="N15" s="12" t="s">
        <v>90</v>
      </c>
      <c r="O15" s="9"/>
      <c r="P15" s="9"/>
      <c r="Q15" s="13"/>
      <c r="R15" s="9" t="s">
        <v>123</v>
      </c>
      <c r="S15" s="13"/>
    </row>
    <row r="16" ht="14.25" customHeight="1">
      <c r="A16" s="8">
        <v>23.0</v>
      </c>
      <c r="B16" s="8" t="s">
        <v>32</v>
      </c>
      <c r="C16" s="9">
        <v>2018.0</v>
      </c>
      <c r="D16" s="10" t="s">
        <v>124</v>
      </c>
      <c r="E16" s="9" t="s">
        <v>125</v>
      </c>
      <c r="F16" s="9" t="s">
        <v>126</v>
      </c>
      <c r="G16" s="9" t="s">
        <v>78</v>
      </c>
      <c r="H16" s="9">
        <v>7.0</v>
      </c>
      <c r="I16" s="9" t="s">
        <v>127</v>
      </c>
      <c r="J16" s="11" t="s">
        <v>128</v>
      </c>
      <c r="K16" s="9" t="s">
        <v>30</v>
      </c>
      <c r="L16" s="9" t="s">
        <v>30</v>
      </c>
      <c r="M16" s="9" t="s">
        <v>30</v>
      </c>
      <c r="N16" s="12" t="s">
        <v>90</v>
      </c>
      <c r="O16" s="9"/>
      <c r="P16" s="9"/>
      <c r="Q16" s="13"/>
      <c r="R16" s="13"/>
      <c r="S16" s="13"/>
    </row>
    <row r="17" ht="14.25" customHeight="1">
      <c r="A17" s="8">
        <v>26.0</v>
      </c>
      <c r="B17" s="8" t="s">
        <v>32</v>
      </c>
      <c r="C17" s="9">
        <v>2018.0</v>
      </c>
      <c r="D17" s="10" t="s">
        <v>129</v>
      </c>
      <c r="E17" s="9" t="s">
        <v>130</v>
      </c>
      <c r="F17" s="9" t="s">
        <v>131</v>
      </c>
      <c r="G17" s="9" t="s">
        <v>132</v>
      </c>
      <c r="H17" s="9">
        <v>6.0</v>
      </c>
      <c r="I17" s="9" t="s">
        <v>133</v>
      </c>
      <c r="J17" s="11" t="s">
        <v>134</v>
      </c>
      <c r="K17" s="9" t="s">
        <v>30</v>
      </c>
      <c r="L17" s="9" t="s">
        <v>30</v>
      </c>
      <c r="M17" s="9" t="s">
        <v>30</v>
      </c>
      <c r="N17" s="12" t="s">
        <v>90</v>
      </c>
      <c r="O17" s="9"/>
      <c r="P17" s="9"/>
      <c r="Q17" s="13" t="s">
        <v>59</v>
      </c>
      <c r="R17" s="9" t="s">
        <v>135</v>
      </c>
      <c r="S17" s="13"/>
    </row>
    <row r="18" ht="14.25" customHeight="1">
      <c r="A18" s="8">
        <v>28.0</v>
      </c>
      <c r="B18" s="8" t="s">
        <v>32</v>
      </c>
      <c r="C18" s="9">
        <v>2018.0</v>
      </c>
      <c r="D18" s="10" t="s">
        <v>136</v>
      </c>
      <c r="E18" s="9" t="s">
        <v>137</v>
      </c>
      <c r="F18" s="9" t="s">
        <v>138</v>
      </c>
      <c r="G18" s="9" t="s">
        <v>139</v>
      </c>
      <c r="H18" s="9">
        <v>10.0</v>
      </c>
      <c r="I18" s="9" t="s">
        <v>140</v>
      </c>
      <c r="J18" s="11" t="s">
        <v>141</v>
      </c>
      <c r="K18" s="9" t="s">
        <v>30</v>
      </c>
      <c r="L18" s="9" t="s">
        <v>30</v>
      </c>
      <c r="M18" s="9" t="s">
        <v>30</v>
      </c>
      <c r="N18" s="12" t="s">
        <v>90</v>
      </c>
      <c r="O18" s="9"/>
      <c r="P18" s="9"/>
      <c r="Q18" s="13" t="s">
        <v>142</v>
      </c>
      <c r="R18" s="13" t="s">
        <v>135</v>
      </c>
      <c r="S18" s="13"/>
    </row>
    <row r="19" ht="14.25" customHeight="1">
      <c r="A19" s="8">
        <v>34.0</v>
      </c>
      <c r="B19" s="8" t="s">
        <v>32</v>
      </c>
      <c r="C19" s="9">
        <v>2019.0</v>
      </c>
      <c r="D19" s="10" t="s">
        <v>143</v>
      </c>
      <c r="E19" s="9" t="s">
        <v>144</v>
      </c>
      <c r="F19" s="9" t="s">
        <v>145</v>
      </c>
      <c r="G19" s="9" t="s">
        <v>146</v>
      </c>
      <c r="H19" s="9">
        <v>13.0</v>
      </c>
      <c r="I19" s="9" t="s">
        <v>147</v>
      </c>
      <c r="J19" s="11" t="s">
        <v>148</v>
      </c>
      <c r="K19" s="9" t="s">
        <v>30</v>
      </c>
      <c r="L19" s="9" t="s">
        <v>30</v>
      </c>
      <c r="M19" s="9" t="s">
        <v>30</v>
      </c>
      <c r="N19" s="12" t="s">
        <v>90</v>
      </c>
      <c r="O19" s="9"/>
      <c r="P19" s="9"/>
      <c r="Q19" s="13" t="s">
        <v>42</v>
      </c>
      <c r="R19" s="13" t="s">
        <v>149</v>
      </c>
      <c r="S19" s="13"/>
    </row>
    <row r="20" ht="14.25" customHeight="1">
      <c r="A20" s="8">
        <v>39.0</v>
      </c>
      <c r="B20" s="8" t="s">
        <v>23</v>
      </c>
      <c r="C20" s="9">
        <v>2019.0</v>
      </c>
      <c r="D20" s="10" t="s">
        <v>150</v>
      </c>
      <c r="E20" s="9" t="s">
        <v>151</v>
      </c>
      <c r="F20" s="9" t="s">
        <v>152</v>
      </c>
      <c r="G20" s="9" t="s">
        <v>26</v>
      </c>
      <c r="H20" s="9">
        <v>17.0</v>
      </c>
      <c r="I20" s="9" t="s">
        <v>153</v>
      </c>
      <c r="J20" s="11" t="s">
        <v>154</v>
      </c>
      <c r="K20" s="9" t="s">
        <v>30</v>
      </c>
      <c r="L20" s="9" t="s">
        <v>30</v>
      </c>
      <c r="M20" s="9" t="s">
        <v>30</v>
      </c>
      <c r="N20" s="12" t="s">
        <v>90</v>
      </c>
      <c r="O20" s="9"/>
      <c r="P20" s="9"/>
      <c r="Q20" s="13" t="s">
        <v>103</v>
      </c>
      <c r="R20" s="13" t="s">
        <v>103</v>
      </c>
      <c r="S20" s="13"/>
    </row>
    <row r="21" ht="14.25" customHeight="1">
      <c r="A21" s="8">
        <v>40.0</v>
      </c>
      <c r="B21" s="8" t="s">
        <v>23</v>
      </c>
      <c r="C21" s="9">
        <v>2019.0</v>
      </c>
      <c r="D21" s="10" t="s">
        <v>155</v>
      </c>
      <c r="E21" s="9" t="s">
        <v>156</v>
      </c>
      <c r="F21" s="9" t="s">
        <v>157</v>
      </c>
      <c r="G21" s="9"/>
      <c r="H21" s="9">
        <v>16.0</v>
      </c>
      <c r="I21" s="9" t="s">
        <v>158</v>
      </c>
      <c r="J21" s="11" t="s">
        <v>159</v>
      </c>
      <c r="K21" s="9" t="s">
        <v>30</v>
      </c>
      <c r="L21" s="9" t="s">
        <v>30</v>
      </c>
      <c r="M21" s="9" t="s">
        <v>30</v>
      </c>
      <c r="N21" s="12" t="s">
        <v>90</v>
      </c>
      <c r="O21" s="9"/>
      <c r="P21" s="9"/>
      <c r="Q21" s="13" t="s">
        <v>59</v>
      </c>
      <c r="R21" s="13" t="s">
        <v>149</v>
      </c>
      <c r="S21" s="13"/>
    </row>
    <row r="22" ht="14.25" customHeight="1">
      <c r="A22" s="8">
        <v>46.0</v>
      </c>
      <c r="B22" s="8" t="s">
        <v>32</v>
      </c>
      <c r="C22" s="9">
        <v>2020.0</v>
      </c>
      <c r="D22" s="10" t="s">
        <v>160</v>
      </c>
      <c r="E22" s="9" t="s">
        <v>161</v>
      </c>
      <c r="F22" s="9" t="s">
        <v>162</v>
      </c>
      <c r="G22" s="9" t="s">
        <v>26</v>
      </c>
      <c r="H22" s="9">
        <v>9.0</v>
      </c>
      <c r="I22" s="9" t="s">
        <v>163</v>
      </c>
      <c r="J22" s="11" t="s">
        <v>164</v>
      </c>
      <c r="K22" s="9" t="s">
        <v>30</v>
      </c>
      <c r="L22" s="9" t="s">
        <v>30</v>
      </c>
      <c r="M22" s="9" t="s">
        <v>30</v>
      </c>
      <c r="N22" s="12" t="s">
        <v>90</v>
      </c>
      <c r="O22" s="9"/>
      <c r="P22" s="9"/>
      <c r="Q22" s="13" t="s">
        <v>165</v>
      </c>
      <c r="R22" s="13" t="s">
        <v>42</v>
      </c>
      <c r="S22" s="13"/>
    </row>
    <row r="23" ht="14.25" customHeight="1">
      <c r="A23" s="8">
        <v>48.0</v>
      </c>
      <c r="B23" s="8" t="s">
        <v>32</v>
      </c>
      <c r="C23" s="9">
        <v>2020.0</v>
      </c>
      <c r="D23" s="10" t="s">
        <v>166</v>
      </c>
      <c r="E23" s="9" t="s">
        <v>167</v>
      </c>
      <c r="F23" s="9" t="s">
        <v>168</v>
      </c>
      <c r="G23" s="9" t="s">
        <v>169</v>
      </c>
      <c r="H23" s="9">
        <v>8.0</v>
      </c>
      <c r="I23" s="9" t="s">
        <v>170</v>
      </c>
      <c r="J23" s="11" t="s">
        <v>171</v>
      </c>
      <c r="K23" s="9" t="s">
        <v>30</v>
      </c>
      <c r="L23" s="9" t="s">
        <v>30</v>
      </c>
      <c r="M23" s="9" t="s">
        <v>30</v>
      </c>
      <c r="N23" s="12" t="s">
        <v>90</v>
      </c>
      <c r="O23" s="9"/>
      <c r="P23" s="9"/>
      <c r="Q23" s="13" t="s">
        <v>172</v>
      </c>
      <c r="R23" s="13" t="s">
        <v>42</v>
      </c>
      <c r="S23" s="13"/>
    </row>
    <row r="24" ht="14.25" customHeight="1">
      <c r="A24" s="8">
        <v>53.0</v>
      </c>
      <c r="B24" s="8" t="s">
        <v>32</v>
      </c>
      <c r="C24" s="9">
        <v>2020.0</v>
      </c>
      <c r="D24" s="10" t="s">
        <v>173</v>
      </c>
      <c r="E24" s="9" t="s">
        <v>174</v>
      </c>
      <c r="F24" s="9" t="s">
        <v>175</v>
      </c>
      <c r="G24" s="9" t="s">
        <v>26</v>
      </c>
      <c r="H24" s="9">
        <v>8.0</v>
      </c>
      <c r="I24" s="9" t="s">
        <v>176</v>
      </c>
      <c r="J24" s="11" t="s">
        <v>26</v>
      </c>
      <c r="K24" s="9" t="s">
        <v>30</v>
      </c>
      <c r="L24" s="9" t="s">
        <v>30</v>
      </c>
      <c r="M24" s="9" t="s">
        <v>30</v>
      </c>
      <c r="N24" s="12" t="s">
        <v>90</v>
      </c>
      <c r="O24" s="9"/>
      <c r="P24" s="9"/>
      <c r="Q24" s="13" t="s">
        <v>177</v>
      </c>
      <c r="R24" s="13" t="s">
        <v>103</v>
      </c>
      <c r="S24" s="13"/>
    </row>
    <row r="25" ht="14.25" customHeight="1">
      <c r="A25" s="8">
        <v>56.0</v>
      </c>
      <c r="B25" s="8" t="s">
        <v>23</v>
      </c>
      <c r="C25" s="9">
        <v>2020.0</v>
      </c>
      <c r="D25" s="10" t="s">
        <v>178</v>
      </c>
      <c r="E25" s="9" t="s">
        <v>179</v>
      </c>
      <c r="F25" s="9" t="s">
        <v>180</v>
      </c>
      <c r="G25" s="9" t="s">
        <v>181</v>
      </c>
      <c r="H25" s="9">
        <v>14.0</v>
      </c>
      <c r="I25" s="9" t="s">
        <v>182</v>
      </c>
      <c r="J25" s="11" t="s">
        <v>183</v>
      </c>
      <c r="K25" s="9" t="s">
        <v>30</v>
      </c>
      <c r="L25" s="9" t="s">
        <v>30</v>
      </c>
      <c r="M25" s="9" t="s">
        <v>30</v>
      </c>
      <c r="N25" s="12" t="s">
        <v>90</v>
      </c>
      <c r="O25" s="9"/>
      <c r="P25" s="9"/>
      <c r="Q25" s="13"/>
      <c r="R25" s="9" t="s">
        <v>184</v>
      </c>
      <c r="S25" s="13"/>
    </row>
    <row r="26" ht="14.25" customHeight="1">
      <c r="A26" s="8">
        <v>58.0</v>
      </c>
      <c r="B26" s="8" t="s">
        <v>32</v>
      </c>
      <c r="C26" s="9">
        <v>2020.0</v>
      </c>
      <c r="D26" s="10" t="s">
        <v>185</v>
      </c>
      <c r="E26" s="9" t="s">
        <v>186</v>
      </c>
      <c r="F26" s="9" t="s">
        <v>187</v>
      </c>
      <c r="G26" s="9" t="s">
        <v>188</v>
      </c>
      <c r="H26" s="9">
        <v>5.0</v>
      </c>
      <c r="I26" s="9" t="s">
        <v>189</v>
      </c>
      <c r="J26" s="11" t="s">
        <v>190</v>
      </c>
      <c r="K26" s="9" t="s">
        <v>30</v>
      </c>
      <c r="L26" s="9" t="s">
        <v>30</v>
      </c>
      <c r="M26" s="9" t="s">
        <v>30</v>
      </c>
      <c r="N26" s="12" t="s">
        <v>90</v>
      </c>
      <c r="O26" s="9"/>
      <c r="P26" s="9"/>
      <c r="Q26" s="13" t="s">
        <v>142</v>
      </c>
      <c r="R26" s="13" t="s">
        <v>191</v>
      </c>
      <c r="S26" s="13"/>
    </row>
    <row r="27" ht="14.25" customHeight="1">
      <c r="A27" s="8">
        <v>8.0</v>
      </c>
      <c r="B27" s="8" t="s">
        <v>32</v>
      </c>
      <c r="C27" s="9">
        <v>2019.0</v>
      </c>
      <c r="D27" s="10" t="s">
        <v>192</v>
      </c>
      <c r="E27" s="9" t="s">
        <v>193</v>
      </c>
      <c r="F27" s="9" t="s">
        <v>194</v>
      </c>
      <c r="G27" s="9" t="s">
        <v>195</v>
      </c>
      <c r="H27" s="9">
        <v>7.0</v>
      </c>
      <c r="I27" s="9" t="s">
        <v>196</v>
      </c>
      <c r="J27" s="11" t="s">
        <v>197</v>
      </c>
      <c r="K27" s="9" t="s">
        <v>29</v>
      </c>
      <c r="L27" s="9" t="s">
        <v>30</v>
      </c>
      <c r="M27" s="9" t="s">
        <v>30</v>
      </c>
      <c r="N27" s="12" t="s">
        <v>198</v>
      </c>
      <c r="O27" s="9" t="s">
        <v>199</v>
      </c>
      <c r="P27" s="14" t="s">
        <v>200</v>
      </c>
      <c r="Q27" s="13" t="s">
        <v>116</v>
      </c>
      <c r="R27" s="13" t="s">
        <v>42</v>
      </c>
      <c r="S27" s="13"/>
    </row>
    <row r="28" ht="14.25" customHeight="1">
      <c r="A28" s="8">
        <v>11.0</v>
      </c>
      <c r="B28" s="8" t="s">
        <v>23</v>
      </c>
      <c r="C28" s="9">
        <v>2019.0</v>
      </c>
      <c r="D28" s="10" t="s">
        <v>201</v>
      </c>
      <c r="E28" s="9" t="s">
        <v>202</v>
      </c>
      <c r="F28" s="9" t="s">
        <v>203</v>
      </c>
      <c r="G28" s="9" t="s">
        <v>26</v>
      </c>
      <c r="H28" s="9">
        <v>19.0</v>
      </c>
      <c r="I28" s="9" t="s">
        <v>204</v>
      </c>
      <c r="J28" s="11" t="s">
        <v>205</v>
      </c>
      <c r="K28" s="9" t="s">
        <v>29</v>
      </c>
      <c r="L28" s="9" t="s">
        <v>30</v>
      </c>
      <c r="M28" s="9" t="s">
        <v>30</v>
      </c>
      <c r="N28" s="12" t="s">
        <v>198</v>
      </c>
      <c r="O28" s="9" t="s">
        <v>206</v>
      </c>
      <c r="P28" s="14" t="s">
        <v>74</v>
      </c>
      <c r="Q28" s="13" t="s">
        <v>207</v>
      </c>
      <c r="R28" s="13" t="s">
        <v>149</v>
      </c>
      <c r="S28" s="13"/>
    </row>
    <row r="29" ht="14.25" customHeight="1">
      <c r="A29" s="8">
        <v>12.0</v>
      </c>
      <c r="B29" s="8" t="s">
        <v>32</v>
      </c>
      <c r="C29" s="9">
        <v>2021.0</v>
      </c>
      <c r="D29" s="10" t="s">
        <v>208</v>
      </c>
      <c r="E29" s="9" t="s">
        <v>209</v>
      </c>
      <c r="F29" s="9" t="s">
        <v>210</v>
      </c>
      <c r="G29" s="9" t="s">
        <v>211</v>
      </c>
      <c r="H29" s="9">
        <v>8.0</v>
      </c>
      <c r="I29" s="9" t="s">
        <v>212</v>
      </c>
      <c r="J29" s="11" t="s">
        <v>213</v>
      </c>
      <c r="K29" s="9" t="s">
        <v>29</v>
      </c>
      <c r="L29" s="9" t="s">
        <v>30</v>
      </c>
      <c r="M29" s="9" t="s">
        <v>30</v>
      </c>
      <c r="N29" s="12" t="s">
        <v>198</v>
      </c>
      <c r="O29" s="9" t="s">
        <v>214</v>
      </c>
      <c r="P29" s="14" t="s">
        <v>51</v>
      </c>
      <c r="Q29" s="13" t="s">
        <v>42</v>
      </c>
      <c r="R29" s="13" t="s">
        <v>149</v>
      </c>
      <c r="S29" s="13"/>
    </row>
    <row r="30" ht="14.25" customHeight="1">
      <c r="A30" s="8">
        <v>19.0</v>
      </c>
      <c r="B30" s="8" t="s">
        <v>32</v>
      </c>
      <c r="C30" s="9">
        <v>2017.0</v>
      </c>
      <c r="D30" s="10" t="s">
        <v>215</v>
      </c>
      <c r="E30" s="9" t="s">
        <v>216</v>
      </c>
      <c r="F30" s="9" t="s">
        <v>217</v>
      </c>
      <c r="G30" s="9" t="s">
        <v>218</v>
      </c>
      <c r="H30" s="9">
        <v>8.0</v>
      </c>
      <c r="I30" s="9" t="s">
        <v>219</v>
      </c>
      <c r="J30" s="11" t="s">
        <v>220</v>
      </c>
      <c r="K30" s="9" t="s">
        <v>30</v>
      </c>
      <c r="L30" s="9" t="s">
        <v>30</v>
      </c>
      <c r="M30" s="9" t="s">
        <v>30</v>
      </c>
      <c r="N30" s="12" t="s">
        <v>198</v>
      </c>
      <c r="O30" s="14" t="s">
        <v>221</v>
      </c>
      <c r="P30" s="14" t="s">
        <v>222</v>
      </c>
      <c r="Q30" s="13" t="s">
        <v>59</v>
      </c>
      <c r="R30" s="13" t="s">
        <v>135</v>
      </c>
      <c r="S30" s="13"/>
    </row>
    <row r="31" ht="14.25" customHeight="1">
      <c r="A31" s="8">
        <v>22.0</v>
      </c>
      <c r="B31" s="8" t="s">
        <v>32</v>
      </c>
      <c r="C31" s="9">
        <v>2017.0</v>
      </c>
      <c r="D31" s="10" t="s">
        <v>223</v>
      </c>
      <c r="E31" s="9" t="s">
        <v>224</v>
      </c>
      <c r="F31" s="9" t="s">
        <v>225</v>
      </c>
      <c r="G31" s="9" t="s">
        <v>226</v>
      </c>
      <c r="H31" s="9">
        <v>4.0</v>
      </c>
      <c r="I31" s="9" t="s">
        <v>227</v>
      </c>
      <c r="J31" s="11" t="s">
        <v>228</v>
      </c>
      <c r="K31" s="9" t="s">
        <v>30</v>
      </c>
      <c r="L31" s="9" t="s">
        <v>30</v>
      </c>
      <c r="M31" s="9" t="s">
        <v>30</v>
      </c>
      <c r="N31" s="12" t="s">
        <v>198</v>
      </c>
      <c r="O31" s="9" t="s">
        <v>229</v>
      </c>
      <c r="P31" s="14" t="s">
        <v>51</v>
      </c>
      <c r="Q31" s="13"/>
      <c r="R31" s="13"/>
      <c r="S31" s="13" t="s">
        <v>43</v>
      </c>
    </row>
    <row r="32" ht="14.25" customHeight="1">
      <c r="A32" s="8">
        <v>25.0</v>
      </c>
      <c r="B32" s="8" t="s">
        <v>32</v>
      </c>
      <c r="C32" s="9">
        <v>2018.0</v>
      </c>
      <c r="D32" s="10" t="s">
        <v>230</v>
      </c>
      <c r="E32" s="9" t="s">
        <v>231</v>
      </c>
      <c r="F32" s="9" t="s">
        <v>232</v>
      </c>
      <c r="G32" s="9" t="s">
        <v>233</v>
      </c>
      <c r="H32" s="9">
        <v>10.0</v>
      </c>
      <c r="I32" s="9" t="s">
        <v>234</v>
      </c>
      <c r="J32" s="11" t="s">
        <v>235</v>
      </c>
      <c r="K32" s="9" t="s">
        <v>30</v>
      </c>
      <c r="L32" s="9" t="s">
        <v>30</v>
      </c>
      <c r="M32" s="9" t="s">
        <v>30</v>
      </c>
      <c r="N32" s="12" t="s">
        <v>198</v>
      </c>
      <c r="O32" s="14" t="s">
        <v>236</v>
      </c>
      <c r="P32" s="14" t="s">
        <v>237</v>
      </c>
      <c r="Q32" s="9" t="s">
        <v>238</v>
      </c>
      <c r="R32" s="9" t="s">
        <v>149</v>
      </c>
      <c r="S32" s="13"/>
    </row>
    <row r="33" ht="14.25" customHeight="1">
      <c r="A33" s="8">
        <v>29.0</v>
      </c>
      <c r="B33" s="8" t="s">
        <v>32</v>
      </c>
      <c r="C33" s="9">
        <v>2018.0</v>
      </c>
      <c r="D33" s="10" t="s">
        <v>239</v>
      </c>
      <c r="E33" s="9" t="s">
        <v>240</v>
      </c>
      <c r="F33" s="9" t="s">
        <v>241</v>
      </c>
      <c r="G33" s="9" t="s">
        <v>26</v>
      </c>
      <c r="H33" s="9">
        <v>4.0</v>
      </c>
      <c r="I33" s="9" t="s">
        <v>242</v>
      </c>
      <c r="J33" s="11" t="s">
        <v>243</v>
      </c>
      <c r="K33" s="9" t="s">
        <v>30</v>
      </c>
      <c r="L33" s="9" t="s">
        <v>30</v>
      </c>
      <c r="M33" s="9" t="s">
        <v>30</v>
      </c>
      <c r="N33" s="12" t="s">
        <v>198</v>
      </c>
      <c r="O33" s="9" t="s">
        <v>244</v>
      </c>
      <c r="P33" s="14" t="s">
        <v>51</v>
      </c>
      <c r="Q33" s="13"/>
      <c r="R33" s="13" t="s">
        <v>42</v>
      </c>
      <c r="S33" s="13" t="s">
        <v>43</v>
      </c>
    </row>
    <row r="34" ht="14.25" customHeight="1">
      <c r="A34" s="8">
        <v>30.0</v>
      </c>
      <c r="B34" s="8" t="s">
        <v>23</v>
      </c>
      <c r="C34" s="9">
        <v>2018.0</v>
      </c>
      <c r="D34" s="10" t="s">
        <v>245</v>
      </c>
      <c r="E34" s="9" t="s">
        <v>246</v>
      </c>
      <c r="F34" s="9" t="s">
        <v>247</v>
      </c>
      <c r="G34" s="9" t="s">
        <v>248</v>
      </c>
      <c r="H34" s="9">
        <v>8.0</v>
      </c>
      <c r="I34" s="9" t="s">
        <v>249</v>
      </c>
      <c r="J34" s="11" t="s">
        <v>250</v>
      </c>
      <c r="K34" s="9" t="s">
        <v>30</v>
      </c>
      <c r="L34" s="9" t="s">
        <v>30</v>
      </c>
      <c r="M34" s="9" t="s">
        <v>30</v>
      </c>
      <c r="N34" s="12" t="s">
        <v>198</v>
      </c>
      <c r="O34" s="9" t="s">
        <v>251</v>
      </c>
      <c r="P34" s="14" t="s">
        <v>200</v>
      </c>
      <c r="Q34" s="9" t="s">
        <v>59</v>
      </c>
      <c r="R34" s="9" t="s">
        <v>135</v>
      </c>
      <c r="S34" s="13"/>
    </row>
    <row r="35" ht="14.25" customHeight="1">
      <c r="A35" s="8">
        <v>31.0</v>
      </c>
      <c r="B35" s="8" t="s">
        <v>32</v>
      </c>
      <c r="C35" s="9">
        <v>2018.0</v>
      </c>
      <c r="D35" s="10" t="s">
        <v>252</v>
      </c>
      <c r="E35" s="9" t="s">
        <v>253</v>
      </c>
      <c r="F35" s="9" t="s">
        <v>254</v>
      </c>
      <c r="G35" s="9" t="s">
        <v>255</v>
      </c>
      <c r="H35" s="9">
        <v>6.0</v>
      </c>
      <c r="I35" s="9" t="s">
        <v>256</v>
      </c>
      <c r="J35" s="11" t="s">
        <v>257</v>
      </c>
      <c r="K35" s="9" t="s">
        <v>30</v>
      </c>
      <c r="L35" s="9" t="s">
        <v>30</v>
      </c>
      <c r="M35" s="9" t="s">
        <v>30</v>
      </c>
      <c r="N35" s="12" t="s">
        <v>198</v>
      </c>
      <c r="O35" s="9" t="s">
        <v>258</v>
      </c>
      <c r="P35" s="14" t="s">
        <v>200</v>
      </c>
      <c r="Q35" s="13" t="s">
        <v>42</v>
      </c>
      <c r="R35" s="13" t="s">
        <v>59</v>
      </c>
      <c r="S35" s="13"/>
    </row>
    <row r="36" ht="14.25" customHeight="1">
      <c r="A36" s="8">
        <v>32.0</v>
      </c>
      <c r="B36" s="8" t="s">
        <v>23</v>
      </c>
      <c r="C36" s="9">
        <v>2018.0</v>
      </c>
      <c r="D36" s="10" t="s">
        <v>259</v>
      </c>
      <c r="E36" s="9" t="s">
        <v>260</v>
      </c>
      <c r="F36" s="9" t="s">
        <v>261</v>
      </c>
      <c r="G36" s="9"/>
      <c r="H36" s="9">
        <v>17.0</v>
      </c>
      <c r="I36" s="9" t="s">
        <v>262</v>
      </c>
      <c r="J36" s="11" t="s">
        <v>263</v>
      </c>
      <c r="K36" s="9" t="s">
        <v>30</v>
      </c>
      <c r="L36" s="9" t="s">
        <v>30</v>
      </c>
      <c r="M36" s="9" t="s">
        <v>30</v>
      </c>
      <c r="N36" s="12" t="s">
        <v>198</v>
      </c>
      <c r="O36" s="9" t="s">
        <v>264</v>
      </c>
      <c r="P36" s="14" t="s">
        <v>74</v>
      </c>
      <c r="Q36" s="13" t="s">
        <v>59</v>
      </c>
      <c r="R36" s="13" t="s">
        <v>265</v>
      </c>
      <c r="S36" s="13" t="s">
        <v>43</v>
      </c>
    </row>
    <row r="37" ht="14.25" customHeight="1">
      <c r="A37" s="8">
        <v>36.0</v>
      </c>
      <c r="B37" s="8" t="s">
        <v>23</v>
      </c>
      <c r="C37" s="9">
        <v>2019.0</v>
      </c>
      <c r="D37" s="10" t="s">
        <v>266</v>
      </c>
      <c r="E37" s="9" t="s">
        <v>267</v>
      </c>
      <c r="F37" s="9" t="s">
        <v>268</v>
      </c>
      <c r="G37" s="9" t="s">
        <v>26</v>
      </c>
      <c r="H37" s="9">
        <v>16.0</v>
      </c>
      <c r="I37" s="9"/>
      <c r="J37" s="11" t="s">
        <v>269</v>
      </c>
      <c r="K37" s="9" t="s">
        <v>30</v>
      </c>
      <c r="L37" s="9" t="s">
        <v>30</v>
      </c>
      <c r="M37" s="9" t="s">
        <v>30</v>
      </c>
      <c r="N37" s="12" t="s">
        <v>198</v>
      </c>
      <c r="O37" s="14" t="s">
        <v>270</v>
      </c>
      <c r="P37" s="14" t="s">
        <v>222</v>
      </c>
      <c r="Q37" s="13" t="s">
        <v>42</v>
      </c>
      <c r="R37" s="13" t="s">
        <v>271</v>
      </c>
      <c r="S37" s="13"/>
    </row>
    <row r="38" ht="14.25" customHeight="1">
      <c r="A38" s="8">
        <v>37.0</v>
      </c>
      <c r="B38" s="8" t="s">
        <v>23</v>
      </c>
      <c r="C38" s="9">
        <v>2019.0</v>
      </c>
      <c r="D38" s="10" t="s">
        <v>272</v>
      </c>
      <c r="E38" s="9" t="s">
        <v>273</v>
      </c>
      <c r="F38" s="9" t="s">
        <v>274</v>
      </c>
      <c r="G38" s="9" t="s">
        <v>26</v>
      </c>
      <c r="H38" s="9">
        <v>8.0</v>
      </c>
      <c r="I38" s="9" t="s">
        <v>275</v>
      </c>
      <c r="J38" s="11" t="s">
        <v>276</v>
      </c>
      <c r="K38" s="9" t="s">
        <v>30</v>
      </c>
      <c r="L38" s="9" t="s">
        <v>30</v>
      </c>
      <c r="M38" s="9" t="s">
        <v>30</v>
      </c>
      <c r="N38" s="12" t="s">
        <v>198</v>
      </c>
      <c r="O38" s="9" t="s">
        <v>277</v>
      </c>
      <c r="P38" s="14" t="s">
        <v>74</v>
      </c>
      <c r="Q38" s="13" t="s">
        <v>59</v>
      </c>
      <c r="R38" s="13" t="s">
        <v>135</v>
      </c>
      <c r="S38" s="13"/>
    </row>
    <row r="39" ht="14.25" customHeight="1">
      <c r="A39" s="8">
        <v>38.0</v>
      </c>
      <c r="B39" s="8" t="s">
        <v>23</v>
      </c>
      <c r="C39" s="9">
        <v>2019.0</v>
      </c>
      <c r="D39" s="10" t="s">
        <v>278</v>
      </c>
      <c r="E39" s="9" t="s">
        <v>279</v>
      </c>
      <c r="F39" s="9" t="s">
        <v>280</v>
      </c>
      <c r="G39" s="9" t="s">
        <v>26</v>
      </c>
      <c r="H39" s="9">
        <v>5.0</v>
      </c>
      <c r="I39" s="9" t="s">
        <v>281</v>
      </c>
      <c r="J39" s="11" t="s">
        <v>282</v>
      </c>
      <c r="K39" s="9" t="s">
        <v>30</v>
      </c>
      <c r="L39" s="9" t="s">
        <v>30</v>
      </c>
      <c r="M39" s="9" t="s">
        <v>30</v>
      </c>
      <c r="N39" s="12" t="s">
        <v>198</v>
      </c>
      <c r="O39" s="9" t="s">
        <v>251</v>
      </c>
      <c r="P39" s="14" t="s">
        <v>74</v>
      </c>
      <c r="Q39" s="13" t="s">
        <v>59</v>
      </c>
      <c r="R39" s="13" t="s">
        <v>149</v>
      </c>
      <c r="S39" s="13"/>
    </row>
    <row r="40" ht="14.25" customHeight="1">
      <c r="A40" s="8">
        <v>41.0</v>
      </c>
      <c r="B40" s="8" t="s">
        <v>32</v>
      </c>
      <c r="C40" s="9">
        <v>2019.0</v>
      </c>
      <c r="D40" s="10" t="s">
        <v>283</v>
      </c>
      <c r="E40" s="9" t="s">
        <v>284</v>
      </c>
      <c r="F40" s="9" t="s">
        <v>285</v>
      </c>
      <c r="G40" s="9" t="s">
        <v>286</v>
      </c>
      <c r="H40" s="9">
        <v>12.0</v>
      </c>
      <c r="I40" s="9" t="s">
        <v>287</v>
      </c>
      <c r="J40" s="11" t="s">
        <v>288</v>
      </c>
      <c r="K40" s="9" t="s">
        <v>30</v>
      </c>
      <c r="L40" s="9" t="s">
        <v>30</v>
      </c>
      <c r="M40" s="9" t="s">
        <v>30</v>
      </c>
      <c r="N40" s="12" t="s">
        <v>198</v>
      </c>
      <c r="O40" s="9" t="s">
        <v>251</v>
      </c>
      <c r="P40" s="14" t="s">
        <v>51</v>
      </c>
      <c r="Q40" s="9" t="s">
        <v>207</v>
      </c>
      <c r="R40" s="9" t="s">
        <v>289</v>
      </c>
      <c r="S40" s="13"/>
    </row>
    <row r="41" ht="14.25" customHeight="1">
      <c r="A41" s="8">
        <v>42.0</v>
      </c>
      <c r="B41" s="8" t="s">
        <v>32</v>
      </c>
      <c r="C41" s="9">
        <v>2019.0</v>
      </c>
      <c r="D41" s="10" t="s">
        <v>290</v>
      </c>
      <c r="E41" s="9" t="s">
        <v>291</v>
      </c>
      <c r="F41" s="9" t="s">
        <v>292</v>
      </c>
      <c r="G41" s="9" t="s">
        <v>286</v>
      </c>
      <c r="H41" s="9">
        <v>11.0</v>
      </c>
      <c r="I41" s="9" t="s">
        <v>293</v>
      </c>
      <c r="J41" s="11" t="s">
        <v>294</v>
      </c>
      <c r="K41" s="9" t="s">
        <v>30</v>
      </c>
      <c r="L41" s="9" t="s">
        <v>30</v>
      </c>
      <c r="M41" s="9" t="s">
        <v>30</v>
      </c>
      <c r="N41" s="12" t="s">
        <v>198</v>
      </c>
      <c r="O41" s="9" t="s">
        <v>295</v>
      </c>
      <c r="P41" s="14" t="s">
        <v>74</v>
      </c>
      <c r="Q41" s="13" t="s">
        <v>296</v>
      </c>
      <c r="R41" s="13" t="s">
        <v>42</v>
      </c>
      <c r="S41" s="13"/>
    </row>
    <row r="42" ht="14.25" customHeight="1">
      <c r="A42" s="8">
        <v>49.0</v>
      </c>
      <c r="B42" s="8" t="s">
        <v>32</v>
      </c>
      <c r="C42" s="9">
        <v>2020.0</v>
      </c>
      <c r="D42" s="10" t="s">
        <v>297</v>
      </c>
      <c r="E42" s="9" t="s">
        <v>298</v>
      </c>
      <c r="F42" s="9" t="s">
        <v>299</v>
      </c>
      <c r="G42" s="9" t="s">
        <v>300</v>
      </c>
      <c r="H42" s="9">
        <v>7.0</v>
      </c>
      <c r="I42" s="9" t="s">
        <v>301</v>
      </c>
      <c r="J42" s="11" t="s">
        <v>302</v>
      </c>
      <c r="K42" s="9" t="s">
        <v>30</v>
      </c>
      <c r="L42" s="9" t="s">
        <v>30</v>
      </c>
      <c r="M42" s="9" t="s">
        <v>30</v>
      </c>
      <c r="N42" s="12" t="s">
        <v>198</v>
      </c>
      <c r="O42" s="9" t="s">
        <v>303</v>
      </c>
      <c r="P42" s="14" t="s">
        <v>304</v>
      </c>
      <c r="Q42" s="13" t="s">
        <v>289</v>
      </c>
      <c r="R42" s="9" t="s">
        <v>289</v>
      </c>
      <c r="S42" s="13"/>
    </row>
    <row r="43" ht="14.25" customHeight="1">
      <c r="A43" s="8">
        <v>51.0</v>
      </c>
      <c r="B43" s="8" t="s">
        <v>23</v>
      </c>
      <c r="C43" s="9">
        <v>2020.0</v>
      </c>
      <c r="D43" s="10" t="s">
        <v>305</v>
      </c>
      <c r="E43" s="9" t="s">
        <v>306</v>
      </c>
      <c r="F43" s="9" t="s">
        <v>307</v>
      </c>
      <c r="G43" s="9" t="s">
        <v>26</v>
      </c>
      <c r="H43" s="9">
        <v>18.0</v>
      </c>
      <c r="I43" s="9" t="s">
        <v>308</v>
      </c>
      <c r="J43" s="11" t="s">
        <v>309</v>
      </c>
      <c r="K43" s="9" t="s">
        <v>30</v>
      </c>
      <c r="L43" s="9" t="s">
        <v>30</v>
      </c>
      <c r="M43" s="9" t="s">
        <v>30</v>
      </c>
      <c r="N43" s="12" t="s">
        <v>198</v>
      </c>
      <c r="O43" s="9" t="s">
        <v>251</v>
      </c>
      <c r="P43" s="14" t="s">
        <v>74</v>
      </c>
      <c r="Q43" s="13" t="s">
        <v>142</v>
      </c>
      <c r="R43" s="13" t="s">
        <v>149</v>
      </c>
      <c r="S43" s="13"/>
    </row>
    <row r="44" ht="14.25" customHeight="1">
      <c r="A44" s="8">
        <v>54.0</v>
      </c>
      <c r="B44" s="8" t="s">
        <v>32</v>
      </c>
      <c r="C44" s="9">
        <v>2020.0</v>
      </c>
      <c r="D44" s="10" t="s">
        <v>310</v>
      </c>
      <c r="E44" s="9" t="s">
        <v>311</v>
      </c>
      <c r="F44" s="9" t="s">
        <v>312</v>
      </c>
      <c r="G44" s="9" t="s">
        <v>313</v>
      </c>
      <c r="H44" s="9">
        <v>8.0</v>
      </c>
      <c r="I44" s="9" t="s">
        <v>314</v>
      </c>
      <c r="J44" s="11" t="s">
        <v>26</v>
      </c>
      <c r="K44" s="9" t="s">
        <v>30</v>
      </c>
      <c r="L44" s="9" t="s">
        <v>30</v>
      </c>
      <c r="M44" s="9" t="s">
        <v>30</v>
      </c>
      <c r="N44" s="12" t="s">
        <v>198</v>
      </c>
      <c r="O44" s="9" t="s">
        <v>315</v>
      </c>
      <c r="P44" s="14" t="s">
        <v>51</v>
      </c>
      <c r="Q44" s="13"/>
      <c r="R44" s="13" t="s">
        <v>42</v>
      </c>
      <c r="S44" s="13" t="s">
        <v>43</v>
      </c>
    </row>
    <row r="45" ht="14.25" customHeight="1">
      <c r="A45" s="8">
        <v>55.0</v>
      </c>
      <c r="B45" s="8" t="s">
        <v>23</v>
      </c>
      <c r="C45" s="9">
        <v>2020.0</v>
      </c>
      <c r="D45" s="10" t="s">
        <v>316</v>
      </c>
      <c r="E45" s="9" t="s">
        <v>284</v>
      </c>
      <c r="F45" s="9" t="s">
        <v>317</v>
      </c>
      <c r="G45" s="9" t="s">
        <v>318</v>
      </c>
      <c r="H45" s="9">
        <v>17.0</v>
      </c>
      <c r="I45" s="9" t="s">
        <v>319</v>
      </c>
      <c r="J45" s="11" t="s">
        <v>320</v>
      </c>
      <c r="K45" s="9" t="s">
        <v>30</v>
      </c>
      <c r="L45" s="9" t="s">
        <v>30</v>
      </c>
      <c r="M45" s="9" t="s">
        <v>30</v>
      </c>
      <c r="N45" s="12" t="s">
        <v>198</v>
      </c>
      <c r="O45" s="9" t="s">
        <v>251</v>
      </c>
      <c r="P45" s="14" t="s">
        <v>51</v>
      </c>
      <c r="Q45" s="13"/>
      <c r="R45" s="9" t="s">
        <v>289</v>
      </c>
      <c r="S45" s="13"/>
    </row>
    <row r="46" ht="14.25" customHeight="1">
      <c r="A46" s="8">
        <v>57.0</v>
      </c>
      <c r="B46" s="8" t="s">
        <v>32</v>
      </c>
      <c r="C46" s="9">
        <v>2020.0</v>
      </c>
      <c r="D46" s="10" t="s">
        <v>321</v>
      </c>
      <c r="E46" s="9" t="s">
        <v>322</v>
      </c>
      <c r="F46" s="9" t="s">
        <v>323</v>
      </c>
      <c r="G46" s="9" t="s">
        <v>324</v>
      </c>
      <c r="H46" s="9">
        <v>6.0</v>
      </c>
      <c r="I46" s="9" t="s">
        <v>325</v>
      </c>
      <c r="J46" s="11" t="s">
        <v>326</v>
      </c>
      <c r="K46" s="9" t="s">
        <v>30</v>
      </c>
      <c r="L46" s="9" t="s">
        <v>30</v>
      </c>
      <c r="M46" s="9" t="s">
        <v>30</v>
      </c>
      <c r="N46" s="12" t="s">
        <v>198</v>
      </c>
      <c r="O46" s="9" t="s">
        <v>327</v>
      </c>
      <c r="P46" s="14" t="s">
        <v>51</v>
      </c>
      <c r="Q46" s="13" t="s">
        <v>59</v>
      </c>
      <c r="R46" s="13" t="s">
        <v>328</v>
      </c>
      <c r="S46" s="13"/>
    </row>
    <row r="47" ht="14.25" customHeight="1">
      <c r="A47" s="8">
        <v>59.0</v>
      </c>
      <c r="B47" s="8" t="s">
        <v>32</v>
      </c>
      <c r="C47" s="9">
        <v>2020.0</v>
      </c>
      <c r="D47" s="10" t="s">
        <v>329</v>
      </c>
      <c r="E47" s="9" t="s">
        <v>330</v>
      </c>
      <c r="F47" s="9" t="s">
        <v>331</v>
      </c>
      <c r="G47" s="9" t="s">
        <v>332</v>
      </c>
      <c r="H47" s="9">
        <v>12.0</v>
      </c>
      <c r="I47" s="9" t="s">
        <v>333</v>
      </c>
      <c r="J47" s="11" t="s">
        <v>334</v>
      </c>
      <c r="K47" s="9" t="s">
        <v>30</v>
      </c>
      <c r="L47" s="9" t="s">
        <v>30</v>
      </c>
      <c r="M47" s="9" t="s">
        <v>30</v>
      </c>
      <c r="N47" s="12" t="s">
        <v>198</v>
      </c>
      <c r="O47" s="9" t="s">
        <v>335</v>
      </c>
      <c r="P47" s="14" t="s">
        <v>74</v>
      </c>
      <c r="Q47" s="13" t="s">
        <v>336</v>
      </c>
      <c r="R47" s="13" t="s">
        <v>337</v>
      </c>
      <c r="S47" s="13"/>
    </row>
    <row r="48" ht="14.25" customHeight="1">
      <c r="A48" s="8">
        <v>60.0</v>
      </c>
      <c r="B48" s="8" t="s">
        <v>32</v>
      </c>
      <c r="C48" s="9">
        <v>2020.0</v>
      </c>
      <c r="D48" s="10" t="s">
        <v>338</v>
      </c>
      <c r="E48" s="9" t="s">
        <v>339</v>
      </c>
      <c r="F48" s="9" t="s">
        <v>340</v>
      </c>
      <c r="G48" s="9" t="s">
        <v>341</v>
      </c>
      <c r="H48" s="9">
        <v>11.0</v>
      </c>
      <c r="I48" s="9"/>
      <c r="J48" s="11" t="s">
        <v>342</v>
      </c>
      <c r="K48" s="9" t="s">
        <v>30</v>
      </c>
      <c r="L48" s="9" t="s">
        <v>30</v>
      </c>
      <c r="M48" s="9" t="s">
        <v>30</v>
      </c>
      <c r="N48" s="12" t="s">
        <v>198</v>
      </c>
      <c r="O48" s="9" t="s">
        <v>343</v>
      </c>
      <c r="P48" s="14" t="s">
        <v>304</v>
      </c>
      <c r="Q48" s="13" t="s">
        <v>289</v>
      </c>
      <c r="R48" s="13" t="s">
        <v>149</v>
      </c>
      <c r="S48" s="13"/>
    </row>
    <row r="49" ht="14.25" customHeight="1">
      <c r="A49" s="8">
        <v>61.0</v>
      </c>
      <c r="B49" s="8" t="s">
        <v>32</v>
      </c>
      <c r="C49" s="9">
        <v>2020.0</v>
      </c>
      <c r="D49" s="10" t="s">
        <v>344</v>
      </c>
      <c r="E49" s="9" t="s">
        <v>345</v>
      </c>
      <c r="F49" s="9" t="s">
        <v>346</v>
      </c>
      <c r="G49" s="9" t="s">
        <v>347</v>
      </c>
      <c r="H49" s="9">
        <v>6.0</v>
      </c>
      <c r="I49" s="9" t="s">
        <v>348</v>
      </c>
      <c r="J49" s="11" t="s">
        <v>349</v>
      </c>
      <c r="K49" s="9" t="s">
        <v>30</v>
      </c>
      <c r="L49" s="9" t="s">
        <v>30</v>
      </c>
      <c r="M49" s="9" t="s">
        <v>30</v>
      </c>
      <c r="N49" s="12" t="s">
        <v>198</v>
      </c>
      <c r="O49" s="9" t="s">
        <v>350</v>
      </c>
      <c r="P49" s="14" t="s">
        <v>351</v>
      </c>
      <c r="Q49" s="13" t="s">
        <v>172</v>
      </c>
      <c r="R49" s="13" t="s">
        <v>42</v>
      </c>
      <c r="S49" s="13"/>
    </row>
    <row r="50" ht="14.25" customHeight="1">
      <c r="A50" s="8">
        <v>62.0</v>
      </c>
      <c r="B50" s="8" t="s">
        <v>32</v>
      </c>
      <c r="C50" s="9">
        <v>2020.0</v>
      </c>
      <c r="D50" s="10" t="s">
        <v>352</v>
      </c>
      <c r="E50" s="9" t="s">
        <v>353</v>
      </c>
      <c r="F50" s="9" t="s">
        <v>354</v>
      </c>
      <c r="G50" s="9" t="s">
        <v>355</v>
      </c>
      <c r="H50" s="9">
        <v>4.0</v>
      </c>
      <c r="I50" s="9" t="s">
        <v>356</v>
      </c>
      <c r="J50" s="11" t="s">
        <v>357</v>
      </c>
      <c r="K50" s="9" t="s">
        <v>30</v>
      </c>
      <c r="L50" s="9" t="s">
        <v>30</v>
      </c>
      <c r="M50" s="9" t="s">
        <v>30</v>
      </c>
      <c r="N50" s="12" t="s">
        <v>198</v>
      </c>
      <c r="O50" s="9" t="s">
        <v>358</v>
      </c>
      <c r="P50" s="14" t="s">
        <v>74</v>
      </c>
      <c r="Q50" s="13" t="s">
        <v>207</v>
      </c>
      <c r="R50" s="13" t="s">
        <v>289</v>
      </c>
      <c r="S50" s="13"/>
    </row>
    <row r="51" ht="14.25" customHeight="1">
      <c r="A51" s="8">
        <v>63.0</v>
      </c>
      <c r="B51" s="8" t="s">
        <v>32</v>
      </c>
      <c r="C51" s="9">
        <v>2020.0</v>
      </c>
      <c r="D51" s="10" t="s">
        <v>359</v>
      </c>
      <c r="E51" s="9" t="s">
        <v>360</v>
      </c>
      <c r="F51" s="9" t="s">
        <v>361</v>
      </c>
      <c r="G51" s="9" t="s">
        <v>362</v>
      </c>
      <c r="H51" s="9">
        <v>4.0</v>
      </c>
      <c r="I51" s="9" t="s">
        <v>363</v>
      </c>
      <c r="J51" s="11" t="s">
        <v>364</v>
      </c>
      <c r="K51" s="9" t="s">
        <v>30</v>
      </c>
      <c r="L51" s="9" t="s">
        <v>30</v>
      </c>
      <c r="M51" s="9" t="s">
        <v>30</v>
      </c>
      <c r="N51" s="12" t="s">
        <v>198</v>
      </c>
      <c r="O51" s="9" t="s">
        <v>251</v>
      </c>
      <c r="P51" s="14" t="s">
        <v>200</v>
      </c>
      <c r="Q51" s="13"/>
      <c r="R51" s="13" t="s">
        <v>66</v>
      </c>
      <c r="S51" s="13"/>
    </row>
    <row r="52" ht="14.25" customHeight="1">
      <c r="A52" s="8">
        <v>64.0</v>
      </c>
      <c r="B52" s="8" t="s">
        <v>32</v>
      </c>
      <c r="C52" s="9">
        <v>2020.0</v>
      </c>
      <c r="D52" s="10" t="s">
        <v>365</v>
      </c>
      <c r="E52" s="9" t="s">
        <v>366</v>
      </c>
      <c r="F52" s="9" t="s">
        <v>367</v>
      </c>
      <c r="G52" s="9" t="s">
        <v>26</v>
      </c>
      <c r="H52" s="9">
        <v>8.0</v>
      </c>
      <c r="I52" s="9"/>
      <c r="J52" s="11" t="s">
        <v>26</v>
      </c>
      <c r="K52" s="9" t="s">
        <v>30</v>
      </c>
      <c r="L52" s="9" t="s">
        <v>30</v>
      </c>
      <c r="M52" s="9" t="s">
        <v>30</v>
      </c>
      <c r="N52" s="12" t="s">
        <v>198</v>
      </c>
      <c r="O52" s="14" t="s">
        <v>368</v>
      </c>
      <c r="P52" s="14" t="s">
        <v>369</v>
      </c>
      <c r="Q52" s="13" t="s">
        <v>142</v>
      </c>
      <c r="R52" s="13" t="s">
        <v>135</v>
      </c>
      <c r="S52" s="13"/>
    </row>
    <row r="53" ht="14.25" customHeight="1">
      <c r="A53" s="8">
        <v>65.0</v>
      </c>
      <c r="B53" s="8" t="s">
        <v>23</v>
      </c>
      <c r="C53" s="9">
        <v>2020.0</v>
      </c>
      <c r="D53" s="10" t="s">
        <v>370</v>
      </c>
      <c r="E53" s="9" t="s">
        <v>371</v>
      </c>
      <c r="F53" s="9" t="s">
        <v>372</v>
      </c>
      <c r="G53" s="9"/>
      <c r="H53" s="9">
        <v>14.0</v>
      </c>
      <c r="I53" s="9" t="s">
        <v>373</v>
      </c>
      <c r="J53" s="11" t="s">
        <v>374</v>
      </c>
      <c r="K53" s="9" t="s">
        <v>30</v>
      </c>
      <c r="L53" s="9" t="s">
        <v>30</v>
      </c>
      <c r="M53" s="9" t="s">
        <v>30</v>
      </c>
      <c r="N53" s="12" t="s">
        <v>198</v>
      </c>
      <c r="O53" s="9" t="s">
        <v>375</v>
      </c>
      <c r="P53" s="14" t="s">
        <v>200</v>
      </c>
      <c r="Q53" s="13" t="s">
        <v>289</v>
      </c>
      <c r="R53" s="13" t="s">
        <v>149</v>
      </c>
      <c r="S53" s="13"/>
    </row>
    <row r="54" ht="14.25" customHeight="1">
      <c r="A54" s="8">
        <v>67.0</v>
      </c>
      <c r="B54" s="8" t="s">
        <v>23</v>
      </c>
      <c r="C54" s="9">
        <v>2020.0</v>
      </c>
      <c r="D54" s="10" t="s">
        <v>376</v>
      </c>
      <c r="E54" s="9" t="s">
        <v>377</v>
      </c>
      <c r="F54" s="9" t="s">
        <v>378</v>
      </c>
      <c r="G54" s="9" t="s">
        <v>26</v>
      </c>
      <c r="H54" s="9">
        <v>15.0</v>
      </c>
      <c r="I54" s="9" t="s">
        <v>379</v>
      </c>
      <c r="J54" s="11" t="s">
        <v>380</v>
      </c>
      <c r="K54" s="9" t="s">
        <v>30</v>
      </c>
      <c r="L54" s="9" t="s">
        <v>30</v>
      </c>
      <c r="M54" s="9" t="s">
        <v>30</v>
      </c>
      <c r="N54" s="12" t="s">
        <v>198</v>
      </c>
      <c r="O54" s="9" t="s">
        <v>381</v>
      </c>
      <c r="P54" s="14" t="s">
        <v>74</v>
      </c>
      <c r="Q54" s="13" t="s">
        <v>42</v>
      </c>
      <c r="R54" s="13" t="s">
        <v>149</v>
      </c>
      <c r="S54" s="13"/>
    </row>
    <row r="55" ht="14.25" customHeight="1">
      <c r="A55" s="8">
        <v>69.0</v>
      </c>
      <c r="B55" s="8" t="s">
        <v>23</v>
      </c>
      <c r="C55" s="9">
        <v>2021.0</v>
      </c>
      <c r="D55" s="10" t="s">
        <v>382</v>
      </c>
      <c r="E55" s="9" t="s">
        <v>383</v>
      </c>
      <c r="F55" s="9"/>
      <c r="G55" s="9" t="s">
        <v>384</v>
      </c>
      <c r="H55" s="9">
        <v>21.0</v>
      </c>
      <c r="I55" s="9" t="s">
        <v>385</v>
      </c>
      <c r="J55" s="11" t="s">
        <v>386</v>
      </c>
      <c r="K55" s="9" t="s">
        <v>30</v>
      </c>
      <c r="L55" s="9" t="s">
        <v>30</v>
      </c>
      <c r="M55" s="9" t="s">
        <v>30</v>
      </c>
      <c r="N55" s="12" t="s">
        <v>198</v>
      </c>
      <c r="O55" s="9" t="s">
        <v>387</v>
      </c>
      <c r="P55" s="14" t="s">
        <v>51</v>
      </c>
      <c r="Q55" s="13" t="s">
        <v>289</v>
      </c>
      <c r="R55" s="13" t="s">
        <v>149</v>
      </c>
      <c r="S55" s="13"/>
    </row>
    <row r="56" ht="14.25" customHeight="1">
      <c r="A56" s="8">
        <v>70.0</v>
      </c>
      <c r="B56" s="8" t="s">
        <v>32</v>
      </c>
      <c r="C56" s="9">
        <v>2021.0</v>
      </c>
      <c r="D56" s="10" t="s">
        <v>388</v>
      </c>
      <c r="E56" s="9" t="s">
        <v>389</v>
      </c>
      <c r="F56" s="9" t="s">
        <v>390</v>
      </c>
      <c r="G56" s="9" t="s">
        <v>391</v>
      </c>
      <c r="H56" s="9">
        <v>10.0</v>
      </c>
      <c r="I56" s="9"/>
      <c r="J56" s="11" t="s">
        <v>392</v>
      </c>
      <c r="K56" s="9" t="s">
        <v>30</v>
      </c>
      <c r="L56" s="9" t="s">
        <v>30</v>
      </c>
      <c r="M56" s="9" t="s">
        <v>30</v>
      </c>
      <c r="N56" s="12" t="s">
        <v>198</v>
      </c>
      <c r="O56" s="9" t="s">
        <v>393</v>
      </c>
      <c r="P56" s="14" t="s">
        <v>74</v>
      </c>
      <c r="Q56" s="13" t="s">
        <v>59</v>
      </c>
      <c r="R56" s="13" t="s">
        <v>149</v>
      </c>
      <c r="S56" s="13"/>
    </row>
    <row r="57" ht="14.25" customHeight="1">
      <c r="A57" s="8">
        <v>71.0</v>
      </c>
      <c r="B57" s="8" t="s">
        <v>32</v>
      </c>
      <c r="C57" s="9">
        <v>2021.0</v>
      </c>
      <c r="D57" s="10" t="s">
        <v>394</v>
      </c>
      <c r="E57" s="9" t="s">
        <v>395</v>
      </c>
      <c r="F57" s="9" t="s">
        <v>396</v>
      </c>
      <c r="G57" s="9" t="s">
        <v>397</v>
      </c>
      <c r="H57" s="9">
        <v>11.0</v>
      </c>
      <c r="I57" s="9" t="s">
        <v>398</v>
      </c>
      <c r="J57" s="11" t="s">
        <v>399</v>
      </c>
      <c r="K57" s="9" t="s">
        <v>30</v>
      </c>
      <c r="L57" s="9" t="s">
        <v>30</v>
      </c>
      <c r="M57" s="9" t="s">
        <v>30</v>
      </c>
      <c r="N57" s="12" t="s">
        <v>198</v>
      </c>
      <c r="O57" s="9" t="s">
        <v>400</v>
      </c>
      <c r="P57" s="14" t="s">
        <v>74</v>
      </c>
      <c r="Q57" s="13" t="s">
        <v>165</v>
      </c>
      <c r="R57" s="13" t="s">
        <v>149</v>
      </c>
      <c r="S57" s="13"/>
    </row>
    <row r="58" ht="14.25" customHeight="1">
      <c r="A58" s="8">
        <v>100.0</v>
      </c>
      <c r="B58" s="8" t="s">
        <v>32</v>
      </c>
      <c r="C58" s="9">
        <v>2016.0</v>
      </c>
      <c r="D58" s="10" t="s">
        <v>401</v>
      </c>
      <c r="E58" s="9" t="s">
        <v>402</v>
      </c>
      <c r="F58" s="9" t="s">
        <v>403</v>
      </c>
      <c r="G58" s="9" t="s">
        <v>404</v>
      </c>
      <c r="H58" s="9">
        <v>4.0</v>
      </c>
      <c r="I58" s="9"/>
      <c r="J58" s="11" t="s">
        <v>405</v>
      </c>
      <c r="K58" s="9" t="s">
        <v>30</v>
      </c>
      <c r="L58" s="9" t="s">
        <v>30</v>
      </c>
      <c r="M58" s="9" t="s">
        <v>30</v>
      </c>
      <c r="N58" s="11" t="s">
        <v>198</v>
      </c>
      <c r="O58" s="9" t="s">
        <v>343</v>
      </c>
      <c r="P58" s="14" t="s">
        <v>237</v>
      </c>
      <c r="Q58" s="9" t="s">
        <v>406</v>
      </c>
      <c r="R58" s="9" t="s">
        <v>407</v>
      </c>
      <c r="S58" s="9"/>
    </row>
    <row r="59" ht="14.25" customHeight="1">
      <c r="A59" s="8">
        <v>629.0</v>
      </c>
      <c r="B59" s="8" t="s">
        <v>23</v>
      </c>
      <c r="C59" s="9">
        <v>2017.0</v>
      </c>
      <c r="D59" s="10" t="s">
        <v>408</v>
      </c>
      <c r="E59" s="9" t="s">
        <v>409</v>
      </c>
      <c r="F59" s="9"/>
      <c r="G59" s="9" t="s">
        <v>26</v>
      </c>
      <c r="H59" s="9" t="s">
        <v>26</v>
      </c>
      <c r="I59" s="9"/>
      <c r="J59" s="11" t="s">
        <v>410</v>
      </c>
      <c r="K59" s="9" t="s">
        <v>30</v>
      </c>
      <c r="L59" s="9" t="s">
        <v>30</v>
      </c>
      <c r="M59" s="9" t="s">
        <v>30</v>
      </c>
      <c r="N59" s="11" t="s">
        <v>198</v>
      </c>
      <c r="O59" s="9" t="s">
        <v>251</v>
      </c>
      <c r="P59" s="14" t="s">
        <v>74</v>
      </c>
      <c r="Q59" s="9" t="s">
        <v>149</v>
      </c>
      <c r="R59" s="9" t="s">
        <v>149</v>
      </c>
      <c r="S59" s="9"/>
    </row>
    <row r="60" ht="14.25" customHeight="1">
      <c r="A60" s="8">
        <v>116.0</v>
      </c>
      <c r="B60" s="8" t="s">
        <v>32</v>
      </c>
      <c r="C60" s="9">
        <v>2019.0</v>
      </c>
      <c r="D60" s="10" t="s">
        <v>411</v>
      </c>
      <c r="E60" s="9" t="s">
        <v>412</v>
      </c>
      <c r="F60" s="9" t="s">
        <v>413</v>
      </c>
      <c r="G60" s="9" t="s">
        <v>414</v>
      </c>
      <c r="H60" s="9">
        <v>9.0</v>
      </c>
      <c r="I60" s="9" t="s">
        <v>415</v>
      </c>
      <c r="J60" s="11" t="s">
        <v>416</v>
      </c>
      <c r="K60" s="9" t="s">
        <v>30</v>
      </c>
      <c r="L60" s="9" t="s">
        <v>30</v>
      </c>
      <c r="M60" s="9" t="s">
        <v>30</v>
      </c>
      <c r="N60" s="11" t="s">
        <v>198</v>
      </c>
      <c r="O60" s="9" t="s">
        <v>381</v>
      </c>
      <c r="P60" s="14" t="s">
        <v>51</v>
      </c>
      <c r="Q60" s="9"/>
      <c r="R60" s="9"/>
      <c r="S60" s="9"/>
    </row>
  </sheetData>
  <mergeCells count="3">
    <mergeCell ref="O1:P1"/>
    <mergeCell ref="Q1:S1"/>
    <mergeCell ref="A1:M1"/>
  </mergeCells>
  <conditionalFormatting sqref="K3:K60">
    <cfRule type="cellIs" dxfId="0" priority="1" operator="equal">
      <formula>"Maybe"</formula>
    </cfRule>
  </conditionalFormatting>
  <conditionalFormatting sqref="K3:K60">
    <cfRule type="cellIs" dxfId="1" priority="2" operator="equal">
      <formula>"Rejected"</formula>
    </cfRule>
  </conditionalFormatting>
  <conditionalFormatting sqref="K3:K60">
    <cfRule type="cellIs" dxfId="2" priority="3" operator="equal">
      <formula>"Accepted"</formula>
    </cfRule>
  </conditionalFormatting>
  <conditionalFormatting sqref="L3:L60">
    <cfRule type="cellIs" dxfId="0" priority="4" operator="equal">
      <formula>"Maybe"</formula>
    </cfRule>
  </conditionalFormatting>
  <conditionalFormatting sqref="L3:L60">
    <cfRule type="cellIs" dxfId="2" priority="5" operator="equal">
      <formula>"Accepted"</formula>
    </cfRule>
  </conditionalFormatting>
  <conditionalFormatting sqref="L3:L60">
    <cfRule type="cellIs" dxfId="1" priority="6" operator="equal">
      <formula>"Rejected"</formula>
    </cfRule>
  </conditionalFormatting>
  <conditionalFormatting sqref="M2:M60">
    <cfRule type="cellIs" dxfId="0" priority="7" operator="equal">
      <formula>"Maybe"</formula>
    </cfRule>
  </conditionalFormatting>
  <conditionalFormatting sqref="M2:M60">
    <cfRule type="cellIs" dxfId="2" priority="8" operator="equal">
      <formula>"Accepted"</formula>
    </cfRule>
  </conditionalFormatting>
  <conditionalFormatting sqref="M2:M60">
    <cfRule type="cellIs" dxfId="1" priority="9" operator="equal">
      <formula>"Rejected"</formula>
    </cfRule>
  </conditionalFormatting>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49"/>
    <hyperlink r:id="rId48" ref="D50"/>
    <hyperlink r:id="rId49" ref="D51"/>
    <hyperlink r:id="rId50" ref="D52"/>
    <hyperlink r:id="rId51" ref="D53"/>
    <hyperlink r:id="rId52" ref="D54"/>
    <hyperlink r:id="rId53" ref="D55"/>
    <hyperlink r:id="rId54" ref="D56"/>
    <hyperlink r:id="rId55" ref="D57"/>
    <hyperlink r:id="rId56" ref="D58"/>
    <hyperlink r:id="rId57" ref="D59"/>
    <hyperlink r:id="rId58" ref="D60"/>
  </hyperlinks>
  <printOptions/>
  <pageMargins bottom="0.75" footer="0.0" header="0.0" left="0.7" right="0.7" top="0.75"/>
  <pageSetup paperSize="9" orientation="portrait"/>
  <drawing r:id="rId59"/>
  <tableParts count="1">
    <tablePart r:id="rId6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9.14"/>
    <col customWidth="1" min="2" max="2" width="6.14"/>
    <col customWidth="1" min="3" max="3" width="70.57"/>
    <col customWidth="1" min="4" max="4" width="21.43"/>
    <col customWidth="1" min="5" max="5" width="11.43"/>
    <col customWidth="1" min="6" max="6" width="9.29"/>
    <col customWidth="1" min="7" max="9" width="7.71"/>
    <col customWidth="1" min="10" max="19" width="12.71"/>
    <col customWidth="1" min="20" max="26" width="9.14"/>
  </cols>
  <sheetData>
    <row r="1" ht="14.25" customHeight="1">
      <c r="A1" s="15"/>
      <c r="B1" s="15"/>
      <c r="C1" s="15"/>
      <c r="D1" s="15"/>
      <c r="E1" s="15"/>
      <c r="F1" s="15"/>
      <c r="G1" s="15"/>
      <c r="H1" s="15"/>
      <c r="I1" s="15"/>
      <c r="J1" s="15"/>
      <c r="K1" s="15"/>
      <c r="L1" s="15"/>
      <c r="M1" s="15"/>
      <c r="N1" s="15"/>
      <c r="O1" s="15"/>
      <c r="P1" s="15"/>
      <c r="Q1" s="15"/>
      <c r="R1" s="15"/>
      <c r="S1" s="15"/>
      <c r="T1" s="15"/>
      <c r="U1" s="15"/>
      <c r="V1" s="15"/>
      <c r="W1" s="15"/>
      <c r="X1" s="15"/>
      <c r="Y1" s="15"/>
      <c r="Z1" s="15"/>
    </row>
    <row r="2" ht="14.25" customHeight="1">
      <c r="A2" s="15"/>
      <c r="B2" s="15"/>
      <c r="C2" s="16" t="s">
        <v>417</v>
      </c>
      <c r="D2" s="15"/>
      <c r="E2" s="15"/>
      <c r="F2" s="17" t="s">
        <v>418</v>
      </c>
      <c r="G2" s="18"/>
      <c r="H2" s="15"/>
      <c r="I2" s="15"/>
      <c r="J2" s="15"/>
      <c r="K2" s="15"/>
      <c r="L2" s="15"/>
      <c r="M2" s="15"/>
      <c r="N2" s="15"/>
      <c r="O2" s="15"/>
      <c r="P2" s="15"/>
      <c r="Q2" s="15"/>
      <c r="R2" s="15"/>
      <c r="S2" s="15"/>
      <c r="T2" s="15"/>
      <c r="U2" s="15"/>
      <c r="V2" s="15"/>
      <c r="W2" s="15"/>
      <c r="X2" s="15"/>
      <c r="Y2" s="15"/>
      <c r="Z2" s="15"/>
    </row>
    <row r="3" ht="14.25" customHeight="1">
      <c r="A3" s="15"/>
      <c r="B3" s="15"/>
      <c r="C3" s="19" t="s">
        <v>419</v>
      </c>
      <c r="D3" s="15"/>
      <c r="E3" s="15"/>
      <c r="F3" s="20" t="s">
        <v>420</v>
      </c>
      <c r="G3" s="21"/>
      <c r="H3" s="21"/>
      <c r="I3" s="21"/>
      <c r="J3" s="21"/>
      <c r="K3" s="21"/>
      <c r="L3" s="21"/>
      <c r="M3" s="21"/>
      <c r="N3" s="21"/>
      <c r="O3" s="21"/>
      <c r="P3" s="22"/>
      <c r="W3" s="15"/>
      <c r="X3" s="15"/>
      <c r="Y3" s="15"/>
      <c r="Z3" s="15"/>
    </row>
    <row r="4" ht="14.25" customHeight="1">
      <c r="A4" s="15"/>
      <c r="B4" s="15"/>
      <c r="C4" s="19" t="s">
        <v>421</v>
      </c>
      <c r="D4" s="15"/>
      <c r="E4" s="15"/>
      <c r="F4" s="23"/>
      <c r="P4" s="24"/>
      <c r="W4" s="15"/>
      <c r="X4" s="15"/>
      <c r="Y4" s="15"/>
      <c r="Z4" s="15"/>
    </row>
    <row r="5" ht="14.25" customHeight="1">
      <c r="A5" s="15"/>
      <c r="B5" s="15"/>
      <c r="C5" s="19" t="s">
        <v>422</v>
      </c>
      <c r="D5" s="15"/>
      <c r="E5" s="15"/>
      <c r="F5" s="23"/>
      <c r="P5" s="24"/>
      <c r="W5" s="15"/>
      <c r="X5" s="15"/>
      <c r="Y5" s="15"/>
      <c r="Z5" s="15"/>
    </row>
    <row r="6" ht="14.25" customHeight="1">
      <c r="A6" s="15"/>
      <c r="B6" s="15"/>
      <c r="C6" s="19" t="s">
        <v>423</v>
      </c>
      <c r="D6" s="15"/>
      <c r="E6" s="15"/>
      <c r="F6" s="25"/>
      <c r="G6" s="26"/>
      <c r="H6" s="26"/>
      <c r="I6" s="26"/>
      <c r="J6" s="26"/>
      <c r="K6" s="26"/>
      <c r="L6" s="26"/>
      <c r="M6" s="26"/>
      <c r="N6" s="26"/>
      <c r="O6" s="26"/>
      <c r="P6" s="27"/>
      <c r="Q6" s="15"/>
      <c r="R6" s="15"/>
      <c r="S6" s="15"/>
      <c r="T6" s="15"/>
      <c r="U6" s="15"/>
      <c r="V6" s="15"/>
      <c r="W6" s="15"/>
      <c r="X6" s="15"/>
      <c r="Y6" s="15"/>
      <c r="Z6" s="15"/>
    </row>
    <row r="7" ht="14.25" customHeight="1">
      <c r="A7" s="15"/>
      <c r="B7" s="15"/>
      <c r="C7" s="19" t="s">
        <v>424</v>
      </c>
      <c r="D7" s="15"/>
      <c r="E7" s="15"/>
      <c r="F7" s="15"/>
      <c r="G7" s="15"/>
      <c r="H7" s="15"/>
      <c r="I7" s="15"/>
      <c r="J7" s="15"/>
      <c r="K7" s="15"/>
      <c r="L7" s="15"/>
      <c r="M7" s="15"/>
      <c r="N7" s="15"/>
      <c r="O7" s="15"/>
      <c r="P7" s="15"/>
      <c r="Q7" s="15"/>
      <c r="R7" s="15"/>
      <c r="S7" s="15"/>
      <c r="T7" s="15"/>
      <c r="U7" s="15"/>
      <c r="V7" s="15"/>
      <c r="W7" s="15"/>
      <c r="X7" s="15"/>
      <c r="Y7" s="15"/>
      <c r="Z7" s="15"/>
    </row>
    <row r="8" ht="14.25" customHeight="1">
      <c r="A8" s="15"/>
      <c r="B8" s="15"/>
      <c r="C8" s="28"/>
      <c r="D8" s="15"/>
      <c r="E8" s="15"/>
      <c r="F8" s="15"/>
      <c r="G8" s="15"/>
      <c r="H8" s="15"/>
      <c r="I8" s="15"/>
      <c r="J8" s="15"/>
      <c r="K8" s="15"/>
      <c r="L8" s="15"/>
      <c r="M8" s="15"/>
      <c r="N8" s="15"/>
      <c r="O8" s="15"/>
      <c r="P8" s="15"/>
      <c r="Q8" s="15"/>
      <c r="R8" s="15"/>
      <c r="S8" s="15"/>
      <c r="T8" s="15"/>
      <c r="U8" s="15"/>
      <c r="V8" s="15"/>
      <c r="W8" s="15"/>
      <c r="X8" s="15"/>
      <c r="Y8" s="15"/>
      <c r="Z8" s="15"/>
    </row>
    <row r="9" ht="14.25" customHeight="1">
      <c r="A9" s="15"/>
      <c r="B9" s="15"/>
      <c r="C9" s="28"/>
      <c r="D9" s="15"/>
      <c r="E9" s="15"/>
      <c r="F9" s="15"/>
      <c r="G9" s="15"/>
      <c r="H9" s="15"/>
      <c r="I9" s="15"/>
      <c r="J9" s="15"/>
      <c r="K9" s="15"/>
      <c r="L9" s="15"/>
      <c r="M9" s="15"/>
      <c r="N9" s="15"/>
      <c r="O9" s="15"/>
      <c r="P9" s="15"/>
      <c r="Q9" s="15"/>
      <c r="R9" s="15"/>
      <c r="S9" s="15"/>
      <c r="T9" s="15"/>
      <c r="U9" s="15"/>
      <c r="V9" s="15"/>
      <c r="W9" s="15"/>
      <c r="X9" s="15"/>
      <c r="Y9" s="15"/>
      <c r="Z9" s="15"/>
    </row>
    <row r="10" ht="14.25" customHeight="1">
      <c r="A10" s="15"/>
      <c r="B10" s="29" t="s">
        <v>4</v>
      </c>
      <c r="C10" s="29" t="s">
        <v>425</v>
      </c>
      <c r="D10" s="29" t="s">
        <v>426</v>
      </c>
      <c r="E10" s="15"/>
      <c r="F10" s="15"/>
      <c r="G10" s="15"/>
      <c r="H10" s="15"/>
      <c r="I10" s="15"/>
      <c r="J10" s="15"/>
      <c r="K10" s="15"/>
      <c r="L10" s="15"/>
      <c r="M10" s="15"/>
      <c r="N10" s="15"/>
      <c r="O10" s="15"/>
      <c r="P10" s="15"/>
      <c r="Q10" s="15"/>
      <c r="R10" s="15"/>
      <c r="S10" s="15"/>
      <c r="T10" s="15"/>
      <c r="U10" s="15"/>
      <c r="V10" s="15"/>
      <c r="W10" s="15"/>
      <c r="X10" s="15"/>
      <c r="Y10" s="15"/>
      <c r="Z10" s="15"/>
    </row>
    <row r="11" ht="14.25" customHeight="1">
      <c r="A11" s="15"/>
      <c r="B11" s="30" t="s">
        <v>427</v>
      </c>
      <c r="C11" s="19" t="s">
        <v>428</v>
      </c>
      <c r="D11" s="31" t="s">
        <v>429</v>
      </c>
      <c r="E11" s="15"/>
      <c r="F11" s="15"/>
      <c r="G11" s="15"/>
      <c r="H11" s="15"/>
      <c r="I11" s="15"/>
      <c r="J11" s="15"/>
      <c r="K11" s="15"/>
      <c r="L11" s="15"/>
      <c r="M11" s="15"/>
      <c r="N11" s="15"/>
      <c r="O11" s="15"/>
      <c r="P11" s="15"/>
      <c r="Q11" s="15"/>
      <c r="R11" s="15"/>
      <c r="S11" s="15"/>
      <c r="T11" s="15"/>
      <c r="U11" s="15"/>
      <c r="V11" s="15"/>
      <c r="W11" s="15"/>
      <c r="X11" s="15"/>
      <c r="Y11" s="15"/>
      <c r="Z11" s="15"/>
    </row>
    <row r="12" ht="14.25" customHeight="1">
      <c r="A12" s="15"/>
      <c r="B12" s="30" t="s">
        <v>430</v>
      </c>
      <c r="C12" s="19" t="s">
        <v>431</v>
      </c>
      <c r="D12" s="31" t="s">
        <v>432</v>
      </c>
      <c r="E12" s="15"/>
      <c r="F12" s="15"/>
      <c r="G12" s="15"/>
      <c r="H12" s="15"/>
      <c r="I12" s="15"/>
      <c r="J12" s="15"/>
      <c r="K12" s="15"/>
      <c r="L12" s="15"/>
      <c r="M12" s="15"/>
      <c r="N12" s="15"/>
      <c r="O12" s="15"/>
      <c r="P12" s="15"/>
      <c r="Q12" s="15"/>
      <c r="R12" s="15"/>
      <c r="S12" s="15"/>
      <c r="T12" s="15"/>
      <c r="U12" s="15"/>
      <c r="V12" s="15"/>
      <c r="W12" s="15"/>
      <c r="X12" s="15"/>
      <c r="Y12" s="15"/>
      <c r="Z12" s="15"/>
    </row>
    <row r="13" ht="14.25" customHeight="1">
      <c r="A13" s="15"/>
      <c r="B13" s="30" t="s">
        <v>433</v>
      </c>
      <c r="C13" s="31" t="s">
        <v>434</v>
      </c>
      <c r="D13" s="31" t="s">
        <v>435</v>
      </c>
      <c r="E13" s="15"/>
      <c r="F13" s="15"/>
      <c r="G13" s="15"/>
      <c r="H13" s="15"/>
      <c r="I13" s="15"/>
      <c r="J13" s="15"/>
      <c r="K13" s="15"/>
      <c r="L13" s="15"/>
      <c r="M13" s="15"/>
      <c r="N13" s="15"/>
      <c r="O13" s="15"/>
      <c r="P13" s="15"/>
      <c r="Q13" s="15"/>
      <c r="R13" s="15"/>
      <c r="S13" s="15"/>
      <c r="T13" s="15"/>
      <c r="U13" s="15"/>
      <c r="V13" s="15"/>
      <c r="W13" s="15"/>
      <c r="X13" s="15"/>
      <c r="Y13" s="15"/>
      <c r="Z13" s="15"/>
    </row>
    <row r="14" ht="14.25" customHeight="1">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ht="14.25" customHeight="1">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ht="14.25" customHeight="1">
      <c r="A16" s="32"/>
      <c r="B16" s="33" t="s">
        <v>4</v>
      </c>
      <c r="C16" s="33" t="s">
        <v>436</v>
      </c>
      <c r="D16" s="32"/>
      <c r="E16" s="32"/>
      <c r="F16" s="34" t="s">
        <v>437</v>
      </c>
      <c r="G16" s="34" t="s">
        <v>438</v>
      </c>
      <c r="H16" s="34" t="s">
        <v>439</v>
      </c>
      <c r="I16" s="34" t="s">
        <v>440</v>
      </c>
      <c r="J16" s="32"/>
      <c r="K16" s="32"/>
      <c r="L16" s="32"/>
      <c r="M16" s="32"/>
      <c r="N16" s="32"/>
      <c r="O16" s="32"/>
      <c r="P16" s="32"/>
      <c r="Q16" s="32"/>
      <c r="R16" s="32"/>
      <c r="S16" s="32"/>
      <c r="T16" s="32"/>
      <c r="U16" s="32"/>
      <c r="V16" s="32"/>
      <c r="W16" s="32"/>
      <c r="X16" s="32"/>
      <c r="Y16" s="32"/>
      <c r="Z16" s="32"/>
    </row>
    <row r="17" ht="14.25" customHeight="1">
      <c r="A17" s="15"/>
      <c r="B17" s="30" t="s">
        <v>441</v>
      </c>
      <c r="C17" s="31" t="s">
        <v>442</v>
      </c>
      <c r="D17" s="15"/>
      <c r="E17" s="15"/>
      <c r="F17" s="35" t="s">
        <v>443</v>
      </c>
      <c r="G17" s="36">
        <f>COUNTIF(NonDuplicatedDS!$K$3:$K$60,F17)</f>
        <v>0</v>
      </c>
      <c r="H17" s="36">
        <f>COUNTIF(NonDuplicatedDS!$L$3:$L$60,'SearchString-Criteria-RQs'!$F17)</f>
        <v>0</v>
      </c>
      <c r="I17" s="37">
        <f>COUNTIF(NonDuplicatedDS!$M$3:$M$60,'SearchString-Criteria-RQs'!$F17)</f>
        <v>0</v>
      </c>
      <c r="J17" s="15"/>
      <c r="K17" s="15"/>
      <c r="L17" s="15"/>
      <c r="M17" s="15"/>
      <c r="N17" s="15"/>
      <c r="O17" s="15"/>
      <c r="P17" s="15"/>
      <c r="Q17" s="15"/>
      <c r="R17" s="15"/>
      <c r="S17" s="15"/>
      <c r="T17" s="15"/>
      <c r="U17" s="15"/>
      <c r="V17" s="15"/>
      <c r="W17" s="15"/>
      <c r="X17" s="15"/>
      <c r="Y17" s="15"/>
      <c r="Z17" s="15"/>
    </row>
    <row r="18" ht="14.25" customHeight="1">
      <c r="A18" s="15"/>
      <c r="B18" s="30" t="s">
        <v>444</v>
      </c>
      <c r="C18" s="31" t="s">
        <v>445</v>
      </c>
      <c r="D18" s="15"/>
      <c r="E18" s="15"/>
      <c r="F18" s="35" t="s">
        <v>30</v>
      </c>
      <c r="G18" s="36">
        <f>COUNTIF(NonDuplicatedDS!$K$3:$K$60,F18)</f>
        <v>51</v>
      </c>
      <c r="H18" s="36">
        <f>COUNTIF(NonDuplicatedDS!$L$3:$L$60,'SearchString-Criteria-RQs'!$F18)</f>
        <v>58</v>
      </c>
      <c r="I18" s="37">
        <f>COUNTIF(NonDuplicatedDS!$M$3:$M$60,'SearchString-Criteria-RQs'!$F18)</f>
        <v>58</v>
      </c>
      <c r="J18" s="15"/>
      <c r="K18" s="15"/>
      <c r="L18" s="15"/>
      <c r="M18" s="15"/>
      <c r="N18" s="15"/>
      <c r="O18" s="15"/>
      <c r="P18" s="15"/>
      <c r="Q18" s="15"/>
      <c r="R18" s="15"/>
      <c r="S18" s="15"/>
      <c r="T18" s="15"/>
      <c r="U18" s="15"/>
      <c r="V18" s="15"/>
      <c r="W18" s="15"/>
      <c r="X18" s="15"/>
      <c r="Y18" s="15"/>
      <c r="Z18" s="15"/>
    </row>
    <row r="19" ht="14.25" customHeight="1">
      <c r="A19" s="15"/>
      <c r="B19" s="30" t="s">
        <v>446</v>
      </c>
      <c r="C19" s="31" t="s">
        <v>447</v>
      </c>
      <c r="D19" s="15"/>
      <c r="E19" s="15"/>
      <c r="F19" s="35" t="s">
        <v>448</v>
      </c>
      <c r="G19" s="36">
        <f>COUNTIF(NonDuplicatedDS!$K$3:$K$60,F19)</f>
        <v>0</v>
      </c>
      <c r="H19" s="36">
        <f>COUNTIF(NonDuplicatedDS!$L$3:$L$60,'SearchString-Criteria-RQs'!$F19)</f>
        <v>0</v>
      </c>
      <c r="I19" s="37">
        <f>COUNTIF(NonDuplicatedDS!$M$3:$M$60,'SearchString-Criteria-RQs'!$F19)</f>
        <v>0</v>
      </c>
      <c r="J19" s="15"/>
      <c r="K19" s="15"/>
      <c r="L19" s="15"/>
      <c r="M19" s="15"/>
      <c r="N19" s="15"/>
      <c r="O19" s="15"/>
      <c r="P19" s="15"/>
      <c r="Q19" s="15"/>
      <c r="R19" s="15"/>
      <c r="S19" s="15"/>
      <c r="T19" s="15"/>
      <c r="U19" s="15"/>
      <c r="V19" s="15"/>
      <c r="W19" s="15"/>
      <c r="X19" s="15"/>
      <c r="Y19" s="15"/>
      <c r="Z19" s="15"/>
    </row>
    <row r="20" ht="14.25" customHeight="1">
      <c r="A20" s="15"/>
      <c r="B20" s="30" t="s">
        <v>449</v>
      </c>
      <c r="C20" s="31" t="s">
        <v>450</v>
      </c>
      <c r="D20" s="15"/>
      <c r="E20" s="15"/>
      <c r="F20" s="38" t="s">
        <v>29</v>
      </c>
      <c r="G20" s="39">
        <f>COUNTIF(NonDuplicatedDS!$K$3:$K$60,F20)</f>
        <v>7</v>
      </c>
      <c r="H20" s="39">
        <f>COUNTIF(NonDuplicatedDS!$L$3:$L$60,'SearchString-Criteria-RQs'!$F20)</f>
        <v>0</v>
      </c>
      <c r="I20" s="40">
        <f>COUNTIF(NonDuplicatedDS!$M$3:$M$60,'SearchString-Criteria-RQs'!$F20)</f>
        <v>0</v>
      </c>
      <c r="J20" s="15"/>
      <c r="K20" s="15"/>
      <c r="L20" s="15"/>
      <c r="M20" s="15"/>
      <c r="N20" s="15"/>
      <c r="O20" s="15"/>
      <c r="P20" s="15"/>
      <c r="Q20" s="15"/>
      <c r="R20" s="15"/>
      <c r="S20" s="15"/>
      <c r="T20" s="15"/>
      <c r="U20" s="15"/>
      <c r="V20" s="15"/>
      <c r="W20" s="15"/>
      <c r="X20" s="15"/>
      <c r="Y20" s="15"/>
      <c r="Z20" s="15"/>
    </row>
    <row r="21" ht="14.25" customHeight="1">
      <c r="A21" s="15"/>
      <c r="B21" s="15"/>
      <c r="C21" s="15"/>
      <c r="D21" s="15"/>
      <c r="E21" s="15"/>
      <c r="F21" s="41" t="s">
        <v>451</v>
      </c>
      <c r="G21" s="34">
        <f t="shared" ref="G21:I21" si="1">SUM(G17:G20)</f>
        <v>58</v>
      </c>
      <c r="H21" s="34">
        <f t="shared" si="1"/>
        <v>58</v>
      </c>
      <c r="I21" s="30">
        <f t="shared" si="1"/>
        <v>58</v>
      </c>
      <c r="J21" s="15"/>
      <c r="K21" s="15"/>
      <c r="L21" s="15"/>
      <c r="M21" s="15"/>
      <c r="N21" s="15"/>
      <c r="O21" s="15"/>
      <c r="P21" s="15"/>
      <c r="Q21" s="15"/>
      <c r="R21" s="15"/>
      <c r="S21" s="15"/>
      <c r="T21" s="15"/>
      <c r="U21" s="15"/>
      <c r="V21" s="15"/>
      <c r="W21" s="15"/>
      <c r="X21" s="15"/>
      <c r="Y21" s="15"/>
      <c r="Z21" s="15"/>
    </row>
    <row r="22" ht="14.2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ht="14.2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ht="14.25" customHeight="1">
      <c r="A24" s="15"/>
      <c r="B24" s="42" t="s">
        <v>4</v>
      </c>
      <c r="C24" s="42" t="s">
        <v>452</v>
      </c>
      <c r="D24" s="15"/>
      <c r="E24" s="15"/>
      <c r="F24" s="15"/>
      <c r="G24" s="15"/>
      <c r="H24" s="15"/>
      <c r="I24" s="15"/>
      <c r="J24" s="15"/>
      <c r="K24" s="15"/>
      <c r="L24" s="15"/>
      <c r="M24" s="15"/>
      <c r="N24" s="15"/>
      <c r="O24" s="15"/>
      <c r="P24" s="15"/>
      <c r="Q24" s="15"/>
      <c r="R24" s="15"/>
      <c r="S24" s="15"/>
      <c r="T24" s="15"/>
      <c r="U24" s="15"/>
      <c r="V24" s="15"/>
      <c r="W24" s="15"/>
      <c r="X24" s="15"/>
      <c r="Y24" s="15"/>
      <c r="Z24" s="15"/>
    </row>
    <row r="25" ht="14.25" customHeight="1">
      <c r="A25" s="15"/>
      <c r="B25" s="30" t="s">
        <v>453</v>
      </c>
      <c r="C25" s="31" t="s">
        <v>454</v>
      </c>
      <c r="D25" s="15"/>
      <c r="E25" s="15"/>
      <c r="F25" s="15"/>
      <c r="G25" s="15"/>
      <c r="H25" s="15"/>
      <c r="I25" s="15"/>
      <c r="J25" s="15"/>
      <c r="K25" s="15"/>
      <c r="L25" s="15"/>
      <c r="M25" s="15"/>
      <c r="N25" s="15"/>
      <c r="O25" s="15"/>
      <c r="P25" s="15"/>
      <c r="Q25" s="15"/>
      <c r="R25" s="15"/>
      <c r="S25" s="15"/>
      <c r="T25" s="15"/>
      <c r="U25" s="15"/>
      <c r="V25" s="15"/>
      <c r="W25" s="15"/>
      <c r="X25" s="15"/>
      <c r="Y25" s="15"/>
      <c r="Z25" s="15"/>
    </row>
    <row r="26" ht="14.25" customHeight="1">
      <c r="A26" s="32"/>
      <c r="B26" s="30" t="s">
        <v>455</v>
      </c>
      <c r="C26" s="31" t="s">
        <v>456</v>
      </c>
      <c r="D26" s="32"/>
      <c r="E26" s="32"/>
      <c r="F26" s="32"/>
      <c r="G26" s="32"/>
      <c r="H26" s="32"/>
      <c r="I26" s="32"/>
      <c r="J26" s="32"/>
      <c r="K26" s="32"/>
      <c r="L26" s="32"/>
      <c r="M26" s="32"/>
      <c r="N26" s="32"/>
      <c r="O26" s="32"/>
      <c r="P26" s="32"/>
      <c r="Q26" s="32"/>
      <c r="R26" s="32"/>
      <c r="S26" s="32"/>
      <c r="T26" s="32"/>
      <c r="U26" s="32"/>
      <c r="V26" s="32"/>
      <c r="W26" s="32"/>
      <c r="X26" s="32"/>
      <c r="Y26" s="32"/>
      <c r="Z26" s="32"/>
    </row>
    <row r="27" ht="14.25" customHeight="1">
      <c r="A27" s="15"/>
      <c r="B27" s="30" t="s">
        <v>457</v>
      </c>
      <c r="C27" s="31" t="s">
        <v>458</v>
      </c>
      <c r="D27" s="15"/>
      <c r="E27" s="15"/>
      <c r="F27" s="15"/>
      <c r="G27" s="15"/>
      <c r="H27" s="15"/>
      <c r="I27" s="15"/>
      <c r="J27" s="15"/>
      <c r="K27" s="15"/>
      <c r="L27" s="15"/>
      <c r="M27" s="15"/>
      <c r="N27" s="15"/>
      <c r="O27" s="15"/>
      <c r="P27" s="15"/>
      <c r="Q27" s="15"/>
      <c r="R27" s="15"/>
      <c r="S27" s="15"/>
      <c r="T27" s="15"/>
      <c r="U27" s="15"/>
      <c r="V27" s="15"/>
      <c r="W27" s="15"/>
      <c r="X27" s="15"/>
      <c r="Y27" s="15"/>
      <c r="Z27" s="15"/>
    </row>
    <row r="28" ht="14.2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14.2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14.2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14.25" customHeight="1">
      <c r="A31" s="15"/>
      <c r="B31" s="30" t="s">
        <v>4</v>
      </c>
      <c r="C31" s="30" t="s">
        <v>459</v>
      </c>
      <c r="D31" s="15"/>
      <c r="E31" s="15"/>
      <c r="F31" s="15"/>
      <c r="G31" s="15"/>
      <c r="H31" s="15"/>
      <c r="I31" s="15"/>
      <c r="J31" s="15"/>
      <c r="K31" s="15"/>
      <c r="L31" s="15"/>
      <c r="M31" s="15"/>
      <c r="N31" s="15"/>
      <c r="O31" s="15"/>
      <c r="P31" s="15"/>
      <c r="Q31" s="15"/>
      <c r="R31" s="15"/>
      <c r="S31" s="15"/>
      <c r="T31" s="15"/>
      <c r="U31" s="15"/>
      <c r="V31" s="15"/>
      <c r="W31" s="15"/>
      <c r="X31" s="15"/>
      <c r="Y31" s="15"/>
      <c r="Z31" s="15"/>
    </row>
    <row r="32" ht="14.25" customHeight="1">
      <c r="A32" s="15"/>
      <c r="B32" s="43" t="s">
        <v>1</v>
      </c>
      <c r="C32" s="44" t="s">
        <v>460</v>
      </c>
      <c r="D32" s="15"/>
      <c r="E32" s="15"/>
      <c r="F32" s="15"/>
      <c r="G32" s="15"/>
      <c r="H32" s="15"/>
      <c r="I32" s="15"/>
      <c r="J32" s="15"/>
      <c r="K32" s="15"/>
      <c r="L32" s="15"/>
      <c r="M32" s="15"/>
      <c r="N32" s="15"/>
      <c r="O32" s="15"/>
      <c r="P32" s="15"/>
      <c r="Q32" s="15"/>
      <c r="R32" s="15"/>
      <c r="S32" s="15"/>
      <c r="T32" s="15"/>
      <c r="U32" s="15"/>
      <c r="V32" s="15"/>
      <c r="W32" s="15"/>
      <c r="X32" s="15"/>
      <c r="Y32" s="15"/>
      <c r="Z32" s="15"/>
    </row>
    <row r="33" ht="14.25" customHeight="1">
      <c r="A33" s="15"/>
      <c r="B33" s="30" t="s">
        <v>461</v>
      </c>
      <c r="C33" s="31" t="s">
        <v>462</v>
      </c>
      <c r="D33" s="15"/>
      <c r="E33" s="15"/>
      <c r="F33" s="15"/>
      <c r="G33" s="15"/>
      <c r="H33" s="15"/>
      <c r="I33" s="15"/>
      <c r="J33" s="15"/>
      <c r="K33" s="15"/>
      <c r="L33" s="15"/>
      <c r="M33" s="15"/>
      <c r="N33" s="15"/>
      <c r="O33" s="15"/>
      <c r="P33" s="15"/>
      <c r="Q33" s="15"/>
      <c r="R33" s="15"/>
      <c r="S33" s="15"/>
      <c r="T33" s="15"/>
      <c r="U33" s="15"/>
      <c r="V33" s="15"/>
      <c r="W33" s="15"/>
      <c r="X33" s="15"/>
      <c r="Y33" s="15"/>
      <c r="Z33" s="15"/>
    </row>
    <row r="34" ht="14.25" customHeight="1">
      <c r="A34" s="15"/>
      <c r="B34" s="30" t="s">
        <v>463</v>
      </c>
      <c r="C34" s="31" t="s">
        <v>464</v>
      </c>
      <c r="D34" s="15"/>
      <c r="E34" s="15"/>
      <c r="F34" s="15"/>
      <c r="G34" s="15"/>
      <c r="H34" s="15"/>
      <c r="I34" s="15"/>
      <c r="J34" s="15"/>
      <c r="K34" s="15"/>
      <c r="L34" s="15"/>
      <c r="M34" s="15"/>
      <c r="N34" s="15"/>
      <c r="O34" s="15"/>
      <c r="P34" s="15"/>
      <c r="Q34" s="15"/>
      <c r="R34" s="15"/>
      <c r="S34" s="15"/>
      <c r="T34" s="15"/>
      <c r="U34" s="15"/>
      <c r="V34" s="15"/>
      <c r="W34" s="15"/>
      <c r="X34" s="15"/>
      <c r="Y34" s="15"/>
      <c r="Z34" s="15"/>
    </row>
    <row r="35" ht="14.25" customHeight="1">
      <c r="A35" s="15"/>
      <c r="B35" s="30" t="s">
        <v>465</v>
      </c>
      <c r="C35" s="31" t="s">
        <v>466</v>
      </c>
      <c r="D35" s="15"/>
      <c r="E35" s="15"/>
      <c r="F35" s="15"/>
      <c r="G35" s="15"/>
      <c r="H35" s="15"/>
      <c r="I35" s="15"/>
      <c r="J35" s="15"/>
      <c r="K35" s="15"/>
      <c r="L35" s="15"/>
      <c r="M35" s="15"/>
      <c r="N35" s="15"/>
      <c r="O35" s="15"/>
      <c r="P35" s="15"/>
      <c r="Q35" s="15"/>
      <c r="R35" s="15"/>
      <c r="S35" s="15"/>
      <c r="T35" s="15"/>
      <c r="U35" s="15"/>
      <c r="V35" s="15"/>
      <c r="W35" s="15"/>
      <c r="X35" s="15"/>
      <c r="Y35" s="15"/>
      <c r="Z35" s="15"/>
    </row>
    <row r="36" ht="14.25" customHeight="1">
      <c r="A36" s="15"/>
      <c r="B36" s="43" t="s">
        <v>2</v>
      </c>
      <c r="C36" s="44" t="s">
        <v>467</v>
      </c>
      <c r="D36" s="15"/>
      <c r="E36" s="15"/>
      <c r="F36" s="15"/>
      <c r="G36" s="15"/>
      <c r="H36" s="15"/>
      <c r="I36" s="15"/>
      <c r="J36" s="15"/>
      <c r="K36" s="15"/>
      <c r="L36" s="15"/>
      <c r="M36" s="15"/>
      <c r="N36" s="15"/>
      <c r="O36" s="15"/>
      <c r="P36" s="15"/>
      <c r="Q36" s="15"/>
      <c r="R36" s="15"/>
      <c r="S36" s="15"/>
      <c r="T36" s="15"/>
      <c r="U36" s="15"/>
      <c r="V36" s="15"/>
      <c r="W36" s="15"/>
      <c r="X36" s="15"/>
      <c r="Y36" s="15"/>
      <c r="Z36" s="15"/>
    </row>
    <row r="37" ht="14.25" customHeight="1">
      <c r="A37" s="15"/>
      <c r="B37" s="30" t="s">
        <v>468</v>
      </c>
      <c r="C37" s="31" t="s">
        <v>469</v>
      </c>
      <c r="D37" s="15"/>
      <c r="E37" s="15"/>
      <c r="F37" s="15"/>
      <c r="G37" s="15"/>
      <c r="H37" s="15"/>
      <c r="I37" s="15"/>
      <c r="J37" s="15"/>
      <c r="K37" s="15"/>
      <c r="L37" s="15"/>
      <c r="M37" s="15"/>
      <c r="N37" s="15"/>
      <c r="O37" s="15"/>
      <c r="P37" s="15"/>
      <c r="Q37" s="15"/>
      <c r="R37" s="15"/>
      <c r="S37" s="15"/>
      <c r="T37" s="15"/>
      <c r="U37" s="15"/>
      <c r="V37" s="15"/>
      <c r="W37" s="15"/>
      <c r="X37" s="15"/>
      <c r="Y37" s="15"/>
      <c r="Z37" s="15"/>
    </row>
    <row r="38" ht="14.25" customHeight="1">
      <c r="A38" s="15"/>
      <c r="B38" s="30" t="s">
        <v>470</v>
      </c>
      <c r="C38" s="31" t="s">
        <v>471</v>
      </c>
      <c r="D38" s="15"/>
      <c r="E38" s="15"/>
      <c r="F38" s="15"/>
      <c r="G38" s="15"/>
      <c r="H38" s="15"/>
      <c r="I38" s="15"/>
      <c r="J38" s="15"/>
      <c r="K38" s="15"/>
      <c r="L38" s="15"/>
      <c r="M38" s="15"/>
      <c r="N38" s="15"/>
      <c r="O38" s="15"/>
      <c r="P38" s="15"/>
      <c r="Q38" s="15"/>
      <c r="R38" s="15"/>
      <c r="S38" s="15"/>
      <c r="T38" s="15"/>
      <c r="U38" s="15"/>
      <c r="V38" s="15"/>
      <c r="W38" s="15"/>
      <c r="X38" s="15"/>
      <c r="Y38" s="15"/>
      <c r="Z38" s="15"/>
    </row>
    <row r="39" ht="14.25" customHeight="1">
      <c r="A39" s="15"/>
      <c r="B39" s="43" t="s">
        <v>3</v>
      </c>
      <c r="C39" s="44" t="s">
        <v>472</v>
      </c>
      <c r="D39" s="15"/>
      <c r="E39" s="15"/>
      <c r="F39" s="15"/>
      <c r="G39" s="15"/>
      <c r="H39" s="15"/>
      <c r="I39" s="15"/>
      <c r="J39" s="15"/>
      <c r="K39" s="15"/>
      <c r="L39" s="15"/>
      <c r="M39" s="15"/>
      <c r="N39" s="15"/>
      <c r="O39" s="15"/>
      <c r="P39" s="15"/>
      <c r="Q39" s="15"/>
      <c r="R39" s="15"/>
      <c r="S39" s="15"/>
      <c r="T39" s="15"/>
      <c r="U39" s="15"/>
      <c r="V39" s="15"/>
      <c r="W39" s="15"/>
      <c r="X39" s="15"/>
      <c r="Y39" s="15"/>
      <c r="Z39" s="15"/>
    </row>
    <row r="40" ht="14.25" customHeight="1">
      <c r="A40" s="15"/>
      <c r="B40" s="30" t="s">
        <v>473</v>
      </c>
      <c r="C40" s="31" t="s">
        <v>474</v>
      </c>
      <c r="D40" s="15"/>
      <c r="E40" s="15"/>
      <c r="F40" s="15"/>
      <c r="G40" s="15"/>
      <c r="H40" s="15"/>
      <c r="I40" s="15"/>
      <c r="J40" s="15"/>
      <c r="K40" s="15"/>
      <c r="L40" s="15"/>
      <c r="M40" s="15"/>
      <c r="N40" s="15"/>
      <c r="O40" s="15"/>
      <c r="P40" s="15"/>
      <c r="Q40" s="15"/>
      <c r="R40" s="15"/>
      <c r="S40" s="15"/>
      <c r="T40" s="15"/>
      <c r="U40" s="15"/>
      <c r="V40" s="15"/>
      <c r="W40" s="15"/>
      <c r="X40" s="15"/>
      <c r="Y40" s="15"/>
      <c r="Z40" s="15"/>
    </row>
    <row r="41" ht="14.25" customHeight="1">
      <c r="A41" s="15"/>
      <c r="B41" s="30" t="s">
        <v>475</v>
      </c>
      <c r="C41" s="31" t="s">
        <v>476</v>
      </c>
      <c r="D41" s="15"/>
      <c r="E41" s="15"/>
      <c r="F41" s="15"/>
      <c r="G41" s="15"/>
      <c r="H41" s="15"/>
      <c r="I41" s="15"/>
      <c r="J41" s="15"/>
      <c r="K41" s="15"/>
      <c r="L41" s="15"/>
      <c r="M41" s="15"/>
      <c r="N41" s="15"/>
      <c r="O41" s="15"/>
      <c r="P41" s="15"/>
      <c r="Q41" s="15"/>
      <c r="R41" s="15"/>
      <c r="S41" s="15"/>
      <c r="T41" s="15"/>
      <c r="U41" s="15"/>
      <c r="V41" s="15"/>
      <c r="W41" s="15"/>
      <c r="X41" s="15"/>
      <c r="Y41" s="15"/>
      <c r="Z41" s="15"/>
    </row>
    <row r="42" ht="14.25" customHeight="1">
      <c r="A42" s="15"/>
      <c r="B42" s="30" t="s">
        <v>475</v>
      </c>
      <c r="C42" s="31" t="s">
        <v>477</v>
      </c>
      <c r="D42" s="15"/>
      <c r="E42" s="15"/>
      <c r="F42" s="15"/>
      <c r="G42" s="15"/>
      <c r="H42" s="15"/>
      <c r="I42" s="15"/>
      <c r="J42" s="15"/>
      <c r="K42" s="15"/>
      <c r="L42" s="15"/>
      <c r="M42" s="15"/>
      <c r="N42" s="15"/>
      <c r="O42" s="15"/>
      <c r="P42" s="15"/>
      <c r="Q42" s="15"/>
      <c r="R42" s="15"/>
      <c r="S42" s="15"/>
      <c r="T42" s="15"/>
      <c r="U42" s="15"/>
      <c r="V42" s="15"/>
      <c r="W42" s="15"/>
      <c r="X42" s="15"/>
      <c r="Y42" s="15"/>
      <c r="Z42" s="15"/>
    </row>
    <row r="43" ht="14.2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4.2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4.2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4.2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4.2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4.2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4.2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4.2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4.2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4.2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4.2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4.2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4.2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4.2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4.2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4.2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4.2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4.2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4.2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4.2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4.2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4.2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4.2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4.2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4.2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4.2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4.2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4.2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4.2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4.2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4.2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4.2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4.2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4.2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4.2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4.2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4.2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4.2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4.2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4.2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4.2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4.2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4.2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4.2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4.2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4.2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4.2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4.2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4.2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4.2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4.2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4.2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4.2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4.2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4.2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4.2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4.2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4.2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4.2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4.2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4.2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4.2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4.2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4.2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4.2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4.2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4.2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4.2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4.2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4.2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4.2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4.2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4.2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4.2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4.2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4.2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4.2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4.2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4.2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4.2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4.2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4.2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4.2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4.2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4.2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4.2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4.2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4.2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4.2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4.2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4.2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4.2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4.2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4.2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4.2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4.2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4.2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4.2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4.2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4.2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4.2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4.2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4.2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4.2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4.2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4.2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4.2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4.2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4.2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4.2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4.2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4.2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4.2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4.2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4.2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4.2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4.2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4.2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4.2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4.2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4.2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4.2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4.2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4.2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4.2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4.2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4.2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4.2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4.2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4.2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4.2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4.2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4.2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4.2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4.2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4.2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4.2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4.2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4.2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4.2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4.2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4.2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4.2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4.2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4.2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4.2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4.2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4.2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4.2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4.2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4.2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4.2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4.2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4.2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4.2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4.2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4.2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4.2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4.2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4.2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4.2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4.2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4.2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4.2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4.2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4.2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4.2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4.2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4.2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4.2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4.2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4.2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4.2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4.2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4.2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4.2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4.2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4.2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4.2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4.2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4.2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4.2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4.2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4.2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4.2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4.2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4.2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4.2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4.2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4.2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4.2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4.2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4.2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4.2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4.2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4.2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4.2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4.2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4.2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4.2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4.2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4.2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4.2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4.2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4.2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4.2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4.2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4.2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4.2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4.2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4.2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4.2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4.2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4.2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4.2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4.2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4.2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4.2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4.2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4.2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4.2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4.2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4.2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4.2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4.2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4.2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4.2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4.2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4.2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4.2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4.2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4.2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4.2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4.2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4.2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4.2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4.2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4.2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4.2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4.2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4.2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4.2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4.2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4.2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4.2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4.2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4.2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4.2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4.2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4.2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4.2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4.2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4.2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4.2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4.2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4.2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4.2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4.2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4.2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4.2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4.2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4.2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4.2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4.2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4.2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4.2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4.2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4.2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4.2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4.2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4.2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4.2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4.2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4.2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4.2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4.2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4.2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4.2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4.2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4.2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4.2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4.2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4.2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4.2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4.2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4.2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4.2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4.2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4.2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4.2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4.2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4.2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4.2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4.2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4.2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4.2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4.2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4.2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4.2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4.2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4.2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4.2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4.2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4.2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4.2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4.2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4.2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4.2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4.2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4.2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4.2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4.2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4.2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4.2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4.2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4.2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4.2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4.2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4.2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4.2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4.2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4.2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4.2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4.2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4.2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4.2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4.2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4.2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4.2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4.2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4.2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4.2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4.2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4.2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4.2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4.2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4.2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4.2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4.2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4.2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4.2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4.2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4.2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4.2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4.2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4.2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4.2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4.2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4.2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4.2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4.2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4.2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4.2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4.2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4.2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4.2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4.2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4.2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4.2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4.2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4.2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4.2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4.2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4.2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4.2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4.2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4.2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4.2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4.2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4.2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4.2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4.2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4.2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4.2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4.2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4.2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4.2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4.2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4.2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4.2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4.2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4.2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4.2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4.2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4.2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4.2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4.2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4.2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4.2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4.2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4.2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4.2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4.2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4.2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4.2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4.2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4.2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4.2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4.2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4.2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4.2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4.2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4.2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4.2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4.2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4.2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4.2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4.2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4.2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4.2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4.2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4.2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4.2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4.2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4.2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4.2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4.2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4.2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4.2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4.2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4.2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4.2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4.2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4.2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4.2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4.2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4.2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4.2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4.2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4.2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4.2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4.2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4.2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4.2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4.2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4.2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4.2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4.2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4.2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4.2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4.2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4.2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4.2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4.2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4.2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4.2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4.2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4.2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4.2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4.2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4.2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4.2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4.2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4.2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4.2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4.2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4.2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4.2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4.2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4.2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4.2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4.2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4.2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4.2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4.2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4.2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4.2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4.2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4.2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4.2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4.2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4.2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4.2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4.2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4.2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4.2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4.2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4.2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4.2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4.2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4.2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4.2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4.2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4.2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4.2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4.2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4.2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4.2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4.2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4.2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4.2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4.2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4.2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4.2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4.2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4.2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4.2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4.2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4.2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4.2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4.2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4.2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4.2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4.2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4.2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4.2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4.2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4.2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4.2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4.2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4.2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4.2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4.2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4.2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4.2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4.2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4.2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4.2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4.2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4.2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4.2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4.2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4.2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4.2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4.2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4.2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4.2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4.2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4.2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4.2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4.2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4.2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4.2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4.2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4.2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4.2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4.2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4.2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4.2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4.2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4.2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4.2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4.2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4.2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4.2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4.2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4.2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4.2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4.2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4.2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4.2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4.2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4.2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4.2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4.2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4.2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4.2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4.2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4.2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4.2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4.2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4.2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4.2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4.2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4.2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4.2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4.2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4.2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4.2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4.2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4.2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4.2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4.2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4.2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4.2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4.2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4.2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4.2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4.2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4.2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4.2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4.2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4.2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4.2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4.2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4.2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4.2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4.2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4.2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4.2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4.2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4.2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4.2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4.2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4.2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4.2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4.2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4.2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4.2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4.2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4.2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4.2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4.2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4.2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4.2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4.2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4.2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4.2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4.2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4.2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4.2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4.2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4.2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4.2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4.2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4.2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4.2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4.2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4.2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4.2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4.2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4.2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4.2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4.2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4.2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4.2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4.2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4.2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4.2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4.2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4.2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4.2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4.2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4.2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4.2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4.2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4.2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4.2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4.2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4.2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4.2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4.2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4.2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4.2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4.2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4.2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4.2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4.2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4.2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4.2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4.2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4.2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4.2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4.2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4.2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4.2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4.2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4.2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4.2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4.2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4.2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4.2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4.2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4.2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4.2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4.2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4.2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4.2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4.2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4.2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4.2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4.2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4.2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4.2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4.2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4.2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4.2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4.2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4.2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4.2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4.2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4.2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4.2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4.2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4.2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4.2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4.2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4.2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4.2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4.2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4.2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4.2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4.2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4.2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4.2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4.2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4.2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4.2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4.2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4.2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4.2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4.2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4.2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4.2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4.2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4.2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4.2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4.2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4.2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4.2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4.2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4.2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4.2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4.2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4.2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4.2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4.2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4.2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4.2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4.2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4.2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4.2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4.2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4.2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4.2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4.2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4.2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4.2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4.2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4.2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4.2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4.2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4.2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4.2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4.2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4.2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4.2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4.2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4.2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4.2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4.2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4.2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4.2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4.2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4.2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4.2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4.2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4.2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4.2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4.2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4.2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4.2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4.2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4.2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4.2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4.2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4.2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4.2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4.2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4.2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4.2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4.2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4.2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4.2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4.2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4.2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4.2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4.2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4.2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4.2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4.2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4.2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4.2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4.2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4.2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4.2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4.2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4.2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4.2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4.2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4.2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4.2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4.2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4.2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4.2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4.2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4.2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4.2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4.2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4.2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4.2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4.2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4.2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4.2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4.2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4.2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4.2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4.2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4.2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4.2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4.2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4.2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4.2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4.2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4.2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4.2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4.2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4.2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4.2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4.2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4.2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4.2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4.2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4.2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4.2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4.2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4.2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4.2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4.2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4.2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4.2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4.2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4.2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4.2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4.2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4.2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4.2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4.2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4.2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4.2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4.2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4.2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4.2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4.2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4.2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4.2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4.2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4.2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4.2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4.2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4.2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4.2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4.2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4.2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4.2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4.2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4.2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4.2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4.2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4.2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4.2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4.2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4.2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4.2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4.2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4.2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4.2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4.2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4.2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4.2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4.2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4.2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4.2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4.2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4.2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4.2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4.2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4.2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4.2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4.2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4.2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4.2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4.2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4.2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4.2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4.2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4.2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4.2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4.2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4.2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4.2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4.2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4.2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4.2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4.2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4.2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4.2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4.2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4.2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4.2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4.2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4.2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4.2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4.2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4.2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4.2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4.2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4.2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4.2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4.2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4.2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4.2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4.2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4.2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4.2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4.2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4.2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4.2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4.2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4.2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4.2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4.2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4.2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4.2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4.2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4.2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4.2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4.2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4.2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4.2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4.2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4.2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4.2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4.2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4.2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4.2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4.2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4.2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4.2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4.2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4.2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4.2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4.2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4.2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4.2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4.2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4.2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4.2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4.2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4.2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4.2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4.2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4.2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4.2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4.2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4.2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4.2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4.2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4.2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4.2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4.2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4.2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4.2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4.2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4.2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4.2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4.2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4.2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2">
    <mergeCell ref="F2:G2"/>
    <mergeCell ref="F3:P6"/>
  </mergeCells>
  <printOptions/>
  <pageMargins bottom="0.75" footer="0.0" header="0.0" left="0.7" right="0.7" top="0.75"/>
  <pageSetup paperSize="9" orientation="portrait"/>
  <drawing r:id="rId1"/>
  <tableParts count="6">
    <tablePart r:id="rId8"/>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9.14"/>
    <col customWidth="1" min="2" max="2" width="11.43"/>
    <col customWidth="1" min="3" max="3" width="31.43"/>
    <col customWidth="1" min="4" max="4" width="11.43"/>
    <col customWidth="1" min="5" max="5" width="48.71"/>
    <col customWidth="1" min="6" max="6" width="75.71"/>
    <col customWidth="1" min="7" max="26" width="9.14"/>
  </cols>
  <sheetData>
    <row r="1" ht="14.25" customHeight="1">
      <c r="A1" s="15"/>
      <c r="B1" s="45"/>
      <c r="C1" s="15"/>
      <c r="D1" s="15"/>
      <c r="E1" s="15"/>
      <c r="F1" s="15"/>
      <c r="G1" s="15"/>
      <c r="H1" s="15"/>
      <c r="I1" s="15"/>
      <c r="J1" s="15"/>
      <c r="K1" s="15"/>
      <c r="L1" s="15"/>
      <c r="M1" s="15"/>
      <c r="N1" s="15"/>
      <c r="O1" s="15"/>
      <c r="P1" s="15"/>
      <c r="Q1" s="15"/>
      <c r="R1" s="15"/>
      <c r="S1" s="15"/>
      <c r="T1" s="15"/>
      <c r="U1" s="15"/>
      <c r="V1" s="15"/>
      <c r="W1" s="15"/>
      <c r="X1" s="15"/>
      <c r="Y1" s="15"/>
      <c r="Z1" s="15"/>
    </row>
    <row r="2" ht="14.25" customHeight="1">
      <c r="A2" s="15"/>
      <c r="B2" s="46" t="s">
        <v>4</v>
      </c>
      <c r="C2" s="47" t="s">
        <v>478</v>
      </c>
      <c r="D2" s="47" t="s">
        <v>479</v>
      </c>
      <c r="E2" s="47" t="s">
        <v>480</v>
      </c>
      <c r="F2" s="47" t="s">
        <v>481</v>
      </c>
      <c r="G2" s="15"/>
      <c r="H2" s="15"/>
      <c r="I2" s="15"/>
      <c r="J2" s="15"/>
      <c r="K2" s="15"/>
      <c r="L2" s="15"/>
      <c r="M2" s="15"/>
      <c r="N2" s="15"/>
      <c r="O2" s="15"/>
      <c r="P2" s="15"/>
      <c r="Q2" s="15"/>
      <c r="R2" s="15"/>
      <c r="S2" s="15"/>
      <c r="T2" s="15"/>
      <c r="U2" s="15"/>
      <c r="V2" s="15"/>
      <c r="W2" s="15"/>
      <c r="X2" s="15"/>
      <c r="Y2" s="15"/>
      <c r="Z2" s="15"/>
    </row>
    <row r="3" ht="14.25" customHeight="1">
      <c r="A3" s="15"/>
      <c r="B3" s="48" t="s">
        <v>482</v>
      </c>
      <c r="C3" s="31" t="s">
        <v>4</v>
      </c>
      <c r="D3" s="37" t="s">
        <v>483</v>
      </c>
      <c r="E3" s="31"/>
      <c r="F3" s="31" t="s">
        <v>484</v>
      </c>
      <c r="G3" s="15"/>
      <c r="H3" s="15"/>
      <c r="I3" s="15"/>
      <c r="J3" s="15"/>
      <c r="K3" s="15"/>
      <c r="L3" s="15"/>
      <c r="M3" s="15"/>
      <c r="N3" s="15"/>
      <c r="O3" s="15"/>
      <c r="P3" s="15"/>
      <c r="Q3" s="15"/>
      <c r="R3" s="15"/>
      <c r="S3" s="15"/>
      <c r="T3" s="15"/>
      <c r="U3" s="15"/>
      <c r="V3" s="15"/>
      <c r="W3" s="15"/>
      <c r="X3" s="15"/>
      <c r="Y3" s="15"/>
      <c r="Z3" s="15"/>
    </row>
    <row r="4" ht="14.25" customHeight="1">
      <c r="A4" s="15"/>
      <c r="B4" s="48" t="s">
        <v>485</v>
      </c>
      <c r="C4" s="31" t="s">
        <v>5</v>
      </c>
      <c r="D4" s="37" t="s">
        <v>486</v>
      </c>
      <c r="E4" s="31" t="s">
        <v>487</v>
      </c>
      <c r="F4" s="31" t="s">
        <v>488</v>
      </c>
      <c r="G4" s="15"/>
      <c r="H4" s="15"/>
      <c r="I4" s="15"/>
      <c r="J4" s="15"/>
      <c r="K4" s="15"/>
      <c r="L4" s="15"/>
      <c r="M4" s="15"/>
      <c r="N4" s="15"/>
      <c r="O4" s="15"/>
      <c r="P4" s="15"/>
      <c r="Q4" s="15"/>
      <c r="R4" s="15"/>
      <c r="S4" s="15"/>
      <c r="T4" s="15"/>
      <c r="U4" s="15"/>
      <c r="V4" s="15"/>
      <c r="W4" s="15"/>
      <c r="X4" s="15"/>
      <c r="Y4" s="15"/>
      <c r="Z4" s="15"/>
    </row>
    <row r="5" ht="14.25" customHeight="1">
      <c r="A5" s="15"/>
      <c r="B5" s="48" t="s">
        <v>489</v>
      </c>
      <c r="C5" s="31" t="s">
        <v>6</v>
      </c>
      <c r="D5" s="37" t="s">
        <v>486</v>
      </c>
      <c r="E5" s="31" t="s">
        <v>490</v>
      </c>
      <c r="F5" s="31" t="s">
        <v>491</v>
      </c>
      <c r="G5" s="15"/>
      <c r="H5" s="15"/>
      <c r="I5" s="15"/>
      <c r="J5" s="15"/>
      <c r="K5" s="15"/>
      <c r="L5" s="15"/>
      <c r="M5" s="15"/>
      <c r="N5" s="15"/>
      <c r="O5" s="15"/>
      <c r="P5" s="15"/>
      <c r="Q5" s="15"/>
      <c r="R5" s="15"/>
      <c r="S5" s="15"/>
      <c r="T5" s="15"/>
      <c r="U5" s="15"/>
      <c r="V5" s="15"/>
      <c r="W5" s="15"/>
      <c r="X5" s="15"/>
      <c r="Y5" s="15"/>
      <c r="Z5" s="15"/>
    </row>
    <row r="6" ht="14.25" customHeight="1">
      <c r="A6" s="15"/>
      <c r="B6" s="48" t="s">
        <v>492</v>
      </c>
      <c r="C6" s="31" t="s">
        <v>7</v>
      </c>
      <c r="D6" s="37" t="s">
        <v>483</v>
      </c>
      <c r="E6" s="31"/>
      <c r="F6" s="31" t="s">
        <v>493</v>
      </c>
      <c r="G6" s="15"/>
      <c r="H6" s="15"/>
      <c r="I6" s="15"/>
      <c r="J6" s="15"/>
      <c r="K6" s="15"/>
      <c r="L6" s="15"/>
      <c r="M6" s="15"/>
      <c r="N6" s="15"/>
      <c r="O6" s="15"/>
      <c r="P6" s="15"/>
      <c r="Q6" s="15"/>
      <c r="R6" s="15"/>
      <c r="S6" s="15"/>
      <c r="T6" s="15"/>
      <c r="U6" s="15"/>
      <c r="V6" s="15"/>
      <c r="W6" s="15"/>
      <c r="X6" s="15"/>
      <c r="Y6" s="15"/>
      <c r="Z6" s="15"/>
    </row>
    <row r="7" ht="14.25" customHeight="1">
      <c r="A7" s="15"/>
      <c r="B7" s="48" t="s">
        <v>494</v>
      </c>
      <c r="C7" s="31" t="s">
        <v>495</v>
      </c>
      <c r="D7" s="37" t="s">
        <v>483</v>
      </c>
      <c r="E7" s="31"/>
      <c r="F7" s="31" t="s">
        <v>496</v>
      </c>
      <c r="G7" s="15"/>
      <c r="H7" s="15"/>
      <c r="I7" s="15"/>
      <c r="J7" s="15"/>
      <c r="K7" s="15"/>
      <c r="L7" s="15"/>
      <c r="M7" s="15"/>
      <c r="N7" s="15"/>
      <c r="O7" s="15"/>
      <c r="P7" s="15"/>
      <c r="Q7" s="15"/>
      <c r="R7" s="15"/>
      <c r="S7" s="15"/>
      <c r="T7" s="15"/>
      <c r="U7" s="15"/>
      <c r="V7" s="15"/>
      <c r="W7" s="15"/>
      <c r="X7" s="15"/>
      <c r="Y7" s="15"/>
      <c r="Z7" s="15"/>
    </row>
    <row r="8" ht="14.25" customHeight="1">
      <c r="A8" s="15"/>
      <c r="B8" s="48" t="s">
        <v>497</v>
      </c>
      <c r="C8" s="31" t="s">
        <v>9</v>
      </c>
      <c r="D8" s="37" t="s">
        <v>483</v>
      </c>
      <c r="E8" s="31"/>
      <c r="F8" s="31" t="s">
        <v>498</v>
      </c>
      <c r="G8" s="15"/>
      <c r="H8" s="15"/>
      <c r="I8" s="15"/>
      <c r="J8" s="15"/>
      <c r="K8" s="15"/>
      <c r="L8" s="15"/>
      <c r="M8" s="15"/>
      <c r="N8" s="15"/>
      <c r="O8" s="15"/>
      <c r="P8" s="15"/>
      <c r="Q8" s="15"/>
      <c r="R8" s="15"/>
      <c r="S8" s="15"/>
      <c r="T8" s="15"/>
      <c r="U8" s="15"/>
      <c r="V8" s="15"/>
      <c r="W8" s="15"/>
      <c r="X8" s="15"/>
      <c r="Y8" s="15"/>
      <c r="Z8" s="15"/>
    </row>
    <row r="9" ht="14.25" customHeight="1">
      <c r="A9" s="15"/>
      <c r="B9" s="48" t="s">
        <v>499</v>
      </c>
      <c r="C9" s="31" t="s">
        <v>10</v>
      </c>
      <c r="D9" s="37" t="s">
        <v>483</v>
      </c>
      <c r="E9" s="31"/>
      <c r="F9" s="31" t="s">
        <v>500</v>
      </c>
      <c r="G9" s="15"/>
      <c r="H9" s="15"/>
      <c r="I9" s="15"/>
      <c r="J9" s="15"/>
      <c r="K9" s="15"/>
      <c r="L9" s="15"/>
      <c r="M9" s="15"/>
      <c r="N9" s="15"/>
      <c r="O9" s="15"/>
      <c r="P9" s="15"/>
      <c r="Q9" s="15"/>
      <c r="R9" s="15"/>
      <c r="S9" s="15"/>
      <c r="T9" s="15"/>
      <c r="U9" s="15"/>
      <c r="V9" s="15"/>
      <c r="W9" s="15"/>
      <c r="X9" s="15"/>
      <c r="Y9" s="15"/>
      <c r="Z9" s="15"/>
    </row>
    <row r="10" ht="14.25" customHeight="1">
      <c r="A10" s="15"/>
      <c r="B10" s="48" t="s">
        <v>501</v>
      </c>
      <c r="C10" s="31" t="s">
        <v>502</v>
      </c>
      <c r="D10" s="37" t="s">
        <v>483</v>
      </c>
      <c r="E10" s="31"/>
      <c r="F10" s="31" t="s">
        <v>503</v>
      </c>
      <c r="G10" s="15"/>
      <c r="H10" s="15"/>
      <c r="I10" s="15"/>
      <c r="J10" s="15"/>
      <c r="K10" s="15"/>
      <c r="L10" s="15"/>
      <c r="M10" s="15"/>
      <c r="N10" s="15"/>
      <c r="O10" s="15"/>
      <c r="P10" s="15"/>
      <c r="Q10" s="15"/>
      <c r="R10" s="15"/>
      <c r="S10" s="15"/>
      <c r="T10" s="15"/>
      <c r="U10" s="15"/>
      <c r="V10" s="15"/>
      <c r="W10" s="15"/>
      <c r="X10" s="15"/>
      <c r="Y10" s="15"/>
      <c r="Z10" s="15"/>
    </row>
    <row r="11" ht="14.25" customHeight="1">
      <c r="A11" s="15"/>
      <c r="B11" s="48" t="s">
        <v>504</v>
      </c>
      <c r="C11" s="31" t="s">
        <v>12</v>
      </c>
      <c r="D11" s="37" t="s">
        <v>483</v>
      </c>
      <c r="E11" s="31"/>
      <c r="F11" s="31" t="s">
        <v>505</v>
      </c>
      <c r="G11" s="15"/>
      <c r="H11" s="15"/>
      <c r="I11" s="15"/>
      <c r="J11" s="15"/>
      <c r="K11" s="15"/>
      <c r="L11" s="15"/>
      <c r="M11" s="15"/>
      <c r="N11" s="15"/>
      <c r="O11" s="15"/>
      <c r="P11" s="15"/>
      <c r="Q11" s="15"/>
      <c r="R11" s="15"/>
      <c r="S11" s="15"/>
      <c r="T11" s="15"/>
      <c r="U11" s="15"/>
      <c r="V11" s="15"/>
      <c r="W11" s="15"/>
      <c r="X11" s="15"/>
      <c r="Y11" s="15"/>
      <c r="Z11" s="15"/>
    </row>
    <row r="12" ht="14.25" customHeight="1">
      <c r="A12" s="15"/>
      <c r="B12" s="48" t="s">
        <v>506</v>
      </c>
      <c r="C12" s="31" t="s">
        <v>13</v>
      </c>
      <c r="D12" s="37" t="s">
        <v>483</v>
      </c>
      <c r="E12" s="31"/>
      <c r="F12" s="31" t="s">
        <v>507</v>
      </c>
      <c r="G12" s="15"/>
      <c r="H12" s="15"/>
      <c r="I12" s="15"/>
      <c r="J12" s="15"/>
      <c r="K12" s="15"/>
      <c r="L12" s="15"/>
      <c r="M12" s="15"/>
      <c r="N12" s="15"/>
      <c r="O12" s="15"/>
      <c r="P12" s="15"/>
      <c r="Q12" s="15"/>
      <c r="R12" s="15"/>
      <c r="S12" s="15"/>
      <c r="T12" s="15"/>
      <c r="U12" s="15"/>
      <c r="V12" s="15"/>
      <c r="W12" s="15"/>
      <c r="X12" s="15"/>
      <c r="Y12" s="15"/>
      <c r="Z12" s="15"/>
    </row>
    <row r="13" ht="14.25" customHeight="1">
      <c r="A13" s="15"/>
      <c r="B13" s="49" t="s">
        <v>508</v>
      </c>
      <c r="C13" s="50" t="s">
        <v>460</v>
      </c>
      <c r="D13" s="51"/>
      <c r="E13" s="51"/>
      <c r="F13" s="52"/>
      <c r="G13" s="15"/>
      <c r="H13" s="15"/>
      <c r="I13" s="15"/>
      <c r="J13" s="15"/>
      <c r="K13" s="15"/>
      <c r="L13" s="15"/>
      <c r="M13" s="15"/>
      <c r="N13" s="15"/>
      <c r="O13" s="15"/>
      <c r="P13" s="15"/>
      <c r="Q13" s="15"/>
      <c r="R13" s="15"/>
      <c r="S13" s="15"/>
      <c r="T13" s="15"/>
      <c r="U13" s="15"/>
      <c r="V13" s="15"/>
      <c r="W13" s="15"/>
      <c r="X13" s="15"/>
      <c r="Y13" s="15"/>
      <c r="Z13" s="15"/>
    </row>
    <row r="14" ht="14.25" customHeight="1">
      <c r="A14" s="15"/>
      <c r="B14" s="53" t="s">
        <v>509</v>
      </c>
      <c r="C14" s="31" t="s">
        <v>17</v>
      </c>
      <c r="D14" s="37" t="s">
        <v>486</v>
      </c>
      <c r="E14" s="31" t="s">
        <v>510</v>
      </c>
      <c r="F14" s="31" t="s">
        <v>511</v>
      </c>
      <c r="G14" s="15"/>
      <c r="H14" s="15"/>
      <c r="I14" s="15"/>
      <c r="J14" s="15"/>
      <c r="K14" s="15"/>
      <c r="L14" s="15"/>
      <c r="M14" s="15"/>
      <c r="N14" s="15"/>
      <c r="O14" s="15"/>
      <c r="P14" s="15"/>
      <c r="Q14" s="15"/>
      <c r="R14" s="15"/>
      <c r="S14" s="15"/>
      <c r="T14" s="15"/>
      <c r="U14" s="15"/>
      <c r="V14" s="15"/>
      <c r="W14" s="15"/>
      <c r="X14" s="15"/>
      <c r="Y14" s="15"/>
      <c r="Z14" s="15"/>
    </row>
    <row r="15" ht="14.25" customHeight="1">
      <c r="A15" s="15"/>
      <c r="B15" s="49" t="s">
        <v>2</v>
      </c>
      <c r="C15" s="54" t="s">
        <v>467</v>
      </c>
      <c r="D15" s="51"/>
      <c r="E15" s="51"/>
      <c r="F15" s="52"/>
      <c r="G15" s="15"/>
      <c r="H15" s="15"/>
      <c r="I15" s="15"/>
      <c r="J15" s="15"/>
      <c r="K15" s="15"/>
      <c r="L15" s="15"/>
      <c r="M15" s="15"/>
      <c r="N15" s="15"/>
      <c r="O15" s="15"/>
      <c r="P15" s="15"/>
      <c r="Q15" s="15"/>
      <c r="R15" s="15"/>
      <c r="S15" s="15"/>
      <c r="T15" s="15"/>
      <c r="U15" s="15"/>
      <c r="V15" s="15"/>
      <c r="W15" s="15"/>
      <c r="X15" s="15"/>
      <c r="Y15" s="15"/>
      <c r="Z15" s="15"/>
    </row>
    <row r="16" ht="14.25" customHeight="1">
      <c r="A16" s="15"/>
      <c r="B16" s="48" t="s">
        <v>512</v>
      </c>
      <c r="C16" s="31" t="s">
        <v>18</v>
      </c>
      <c r="D16" s="37" t="s">
        <v>513</v>
      </c>
      <c r="E16" s="31"/>
      <c r="F16" s="31" t="s">
        <v>514</v>
      </c>
      <c r="G16" s="15"/>
      <c r="H16" s="15"/>
      <c r="I16" s="15"/>
      <c r="J16" s="15"/>
      <c r="K16" s="15"/>
      <c r="L16" s="15"/>
      <c r="M16" s="15"/>
      <c r="N16" s="15"/>
      <c r="O16" s="15"/>
      <c r="P16" s="15"/>
      <c r="Q16" s="15"/>
      <c r="R16" s="15"/>
      <c r="S16" s="15"/>
      <c r="T16" s="15"/>
      <c r="U16" s="15"/>
      <c r="V16" s="15"/>
      <c r="W16" s="15"/>
      <c r="X16" s="15"/>
      <c r="Y16" s="15"/>
      <c r="Z16" s="15"/>
    </row>
    <row r="17" ht="14.25" customHeight="1">
      <c r="A17" s="15"/>
      <c r="B17" s="48" t="s">
        <v>515</v>
      </c>
      <c r="C17" s="55" t="s">
        <v>19</v>
      </c>
      <c r="D17" s="37" t="s">
        <v>513</v>
      </c>
      <c r="E17" s="31" t="s">
        <v>516</v>
      </c>
      <c r="F17" s="31" t="s">
        <v>517</v>
      </c>
      <c r="G17" s="15"/>
      <c r="H17" s="15"/>
      <c r="I17" s="15"/>
      <c r="J17" s="15"/>
      <c r="K17" s="15"/>
      <c r="L17" s="15"/>
      <c r="M17" s="15"/>
      <c r="N17" s="15"/>
      <c r="O17" s="15"/>
      <c r="P17" s="15"/>
      <c r="Q17" s="15"/>
      <c r="R17" s="15"/>
      <c r="S17" s="15"/>
      <c r="T17" s="15"/>
      <c r="U17" s="15"/>
      <c r="V17" s="15"/>
      <c r="W17" s="15"/>
      <c r="X17" s="15"/>
      <c r="Y17" s="15"/>
      <c r="Z17" s="15"/>
    </row>
    <row r="18" ht="14.25" customHeight="1">
      <c r="A18" s="15"/>
      <c r="B18" s="49" t="s">
        <v>3</v>
      </c>
      <c r="C18" s="54" t="s">
        <v>472</v>
      </c>
      <c r="D18" s="51"/>
      <c r="E18" s="51"/>
      <c r="F18" s="52"/>
      <c r="G18" s="15"/>
      <c r="H18" s="15"/>
      <c r="I18" s="15"/>
      <c r="J18" s="15"/>
      <c r="K18" s="15"/>
      <c r="L18" s="15"/>
      <c r="M18" s="15"/>
      <c r="N18" s="15"/>
      <c r="O18" s="15"/>
      <c r="P18" s="15"/>
      <c r="Q18" s="15"/>
      <c r="R18" s="15"/>
      <c r="S18" s="15"/>
      <c r="T18" s="15"/>
      <c r="U18" s="15"/>
      <c r="V18" s="15"/>
      <c r="W18" s="15"/>
      <c r="X18" s="15"/>
      <c r="Y18" s="15"/>
      <c r="Z18" s="15"/>
    </row>
    <row r="19" ht="14.25" customHeight="1">
      <c r="A19" s="15"/>
      <c r="B19" s="48" t="s">
        <v>518</v>
      </c>
      <c r="C19" s="31" t="s">
        <v>519</v>
      </c>
      <c r="D19" s="37" t="s">
        <v>513</v>
      </c>
      <c r="E19" s="31" t="s">
        <v>520</v>
      </c>
      <c r="F19" s="31" t="s">
        <v>521</v>
      </c>
      <c r="G19" s="15"/>
      <c r="H19" s="15"/>
      <c r="I19" s="15"/>
      <c r="J19" s="15"/>
      <c r="K19" s="15"/>
      <c r="L19" s="15"/>
      <c r="M19" s="15"/>
      <c r="N19" s="15"/>
      <c r="O19" s="15"/>
      <c r="P19" s="15"/>
      <c r="Q19" s="15"/>
      <c r="R19" s="15"/>
      <c r="S19" s="15"/>
      <c r="T19" s="15"/>
      <c r="U19" s="15"/>
      <c r="V19" s="15"/>
      <c r="W19" s="15"/>
      <c r="X19" s="15"/>
      <c r="Y19" s="15"/>
      <c r="Z19" s="15"/>
    </row>
    <row r="20" ht="14.25" customHeight="1">
      <c r="A20" s="15"/>
      <c r="B20" s="48" t="s">
        <v>522</v>
      </c>
      <c r="C20" s="31" t="s">
        <v>523</v>
      </c>
      <c r="D20" s="37" t="s">
        <v>513</v>
      </c>
      <c r="E20" s="31" t="s">
        <v>524</v>
      </c>
      <c r="F20" s="31" t="s">
        <v>525</v>
      </c>
      <c r="G20" s="15"/>
      <c r="H20" s="15"/>
      <c r="I20" s="15"/>
      <c r="J20" s="15"/>
      <c r="K20" s="15"/>
      <c r="L20" s="15"/>
      <c r="M20" s="15"/>
      <c r="N20" s="15"/>
      <c r="O20" s="15"/>
      <c r="P20" s="15"/>
      <c r="Q20" s="15"/>
      <c r="R20" s="15"/>
      <c r="S20" s="15"/>
      <c r="T20" s="15"/>
      <c r="U20" s="15"/>
      <c r="V20" s="15"/>
      <c r="W20" s="15"/>
      <c r="X20" s="15"/>
      <c r="Y20" s="15"/>
      <c r="Z20" s="15"/>
    </row>
    <row r="21" ht="14.25" customHeight="1">
      <c r="A21" s="15"/>
      <c r="B21" s="48" t="s">
        <v>526</v>
      </c>
      <c r="C21" s="31" t="s">
        <v>22</v>
      </c>
      <c r="D21" s="37" t="s">
        <v>483</v>
      </c>
      <c r="E21" s="31"/>
      <c r="F21" s="31" t="s">
        <v>527</v>
      </c>
      <c r="G21" s="15"/>
      <c r="H21" s="15"/>
      <c r="I21" s="15"/>
      <c r="J21" s="15"/>
      <c r="K21" s="15"/>
      <c r="L21" s="15"/>
      <c r="M21" s="15"/>
      <c r="N21" s="15"/>
      <c r="O21" s="15"/>
      <c r="P21" s="15"/>
      <c r="Q21" s="15"/>
      <c r="R21" s="15"/>
      <c r="S21" s="15"/>
      <c r="T21" s="15"/>
      <c r="U21" s="15"/>
      <c r="V21" s="15"/>
      <c r="W21" s="15"/>
      <c r="X21" s="15"/>
      <c r="Y21" s="15"/>
      <c r="Z21" s="15"/>
    </row>
    <row r="22" ht="14.25" customHeight="1">
      <c r="A22" s="15"/>
      <c r="B22" s="45"/>
      <c r="C22" s="15"/>
      <c r="D22" s="15"/>
      <c r="E22" s="15"/>
      <c r="F22" s="15"/>
      <c r="G22" s="15"/>
      <c r="H22" s="15"/>
      <c r="I22" s="15"/>
      <c r="J22" s="15"/>
      <c r="K22" s="15"/>
      <c r="L22" s="15"/>
      <c r="M22" s="15"/>
      <c r="N22" s="15"/>
      <c r="O22" s="15"/>
      <c r="P22" s="15"/>
      <c r="Q22" s="15"/>
      <c r="R22" s="15"/>
      <c r="S22" s="15"/>
      <c r="T22" s="15"/>
      <c r="U22" s="15"/>
      <c r="V22" s="15"/>
      <c r="W22" s="15"/>
      <c r="X22" s="15"/>
      <c r="Y22" s="15"/>
      <c r="Z22" s="15"/>
    </row>
    <row r="23" ht="14.25" customHeight="1">
      <c r="A23" s="15"/>
      <c r="B23" s="45"/>
      <c r="C23" s="15"/>
      <c r="D23" s="15"/>
      <c r="E23" s="15"/>
      <c r="F23" s="15"/>
      <c r="G23" s="15"/>
      <c r="H23" s="15"/>
      <c r="I23" s="15"/>
      <c r="J23" s="15"/>
      <c r="K23" s="15"/>
      <c r="L23" s="15"/>
      <c r="M23" s="15"/>
      <c r="N23" s="15"/>
      <c r="O23" s="15"/>
      <c r="P23" s="15"/>
      <c r="Q23" s="15"/>
      <c r="R23" s="15"/>
      <c r="S23" s="15"/>
      <c r="T23" s="15"/>
      <c r="U23" s="15"/>
      <c r="V23" s="15"/>
      <c r="W23" s="15"/>
      <c r="X23" s="15"/>
      <c r="Y23" s="15"/>
      <c r="Z23" s="15"/>
    </row>
    <row r="24" ht="14.25" customHeight="1">
      <c r="A24" s="15"/>
      <c r="B24" s="45"/>
      <c r="C24" s="15"/>
      <c r="D24" s="15"/>
      <c r="E24" s="15"/>
      <c r="F24" s="15"/>
      <c r="G24" s="15"/>
      <c r="H24" s="15"/>
      <c r="I24" s="15"/>
      <c r="J24" s="15"/>
      <c r="K24" s="15"/>
      <c r="L24" s="15"/>
      <c r="M24" s="15"/>
      <c r="N24" s="15"/>
      <c r="O24" s="15"/>
      <c r="P24" s="15"/>
      <c r="Q24" s="15"/>
      <c r="R24" s="15"/>
      <c r="S24" s="15"/>
      <c r="T24" s="15"/>
      <c r="U24" s="15"/>
      <c r="V24" s="15"/>
      <c r="W24" s="15"/>
      <c r="X24" s="15"/>
      <c r="Y24" s="15"/>
      <c r="Z24" s="15"/>
    </row>
    <row r="25" ht="14.25" customHeight="1">
      <c r="A25" s="15"/>
      <c r="B25" s="45"/>
      <c r="C25" s="15"/>
      <c r="D25" s="15"/>
      <c r="E25" s="56" t="s">
        <v>528</v>
      </c>
      <c r="F25" s="57" t="s">
        <v>529</v>
      </c>
      <c r="G25" s="15"/>
      <c r="H25" s="15"/>
      <c r="I25" s="15"/>
      <c r="J25" s="15"/>
      <c r="K25" s="15"/>
      <c r="L25" s="15"/>
      <c r="M25" s="15"/>
      <c r="N25" s="15"/>
      <c r="O25" s="15"/>
      <c r="P25" s="15"/>
      <c r="Q25" s="15"/>
      <c r="R25" s="15"/>
      <c r="S25" s="15"/>
      <c r="T25" s="15"/>
      <c r="U25" s="15"/>
      <c r="V25" s="15"/>
      <c r="W25" s="15"/>
      <c r="X25" s="15"/>
      <c r="Y25" s="15"/>
      <c r="Z25" s="15"/>
    </row>
    <row r="26" ht="14.25" customHeight="1">
      <c r="A26" s="15"/>
      <c r="B26" s="45"/>
      <c r="C26" s="15"/>
      <c r="D26" s="15"/>
      <c r="E26" s="31" t="s">
        <v>90</v>
      </c>
      <c r="F26" s="31" t="s">
        <v>530</v>
      </c>
      <c r="G26" s="15"/>
      <c r="H26" s="15"/>
      <c r="I26" s="15"/>
      <c r="J26" s="15"/>
      <c r="K26" s="15"/>
      <c r="L26" s="15"/>
      <c r="M26" s="15"/>
      <c r="N26" s="15"/>
      <c r="O26" s="15"/>
      <c r="P26" s="15"/>
      <c r="Q26" s="15"/>
      <c r="R26" s="15"/>
      <c r="S26" s="15"/>
      <c r="T26" s="15"/>
      <c r="U26" s="15"/>
      <c r="V26" s="15"/>
      <c r="W26" s="15"/>
      <c r="X26" s="15"/>
      <c r="Y26" s="15"/>
      <c r="Z26" s="15"/>
    </row>
    <row r="27" ht="14.25" customHeight="1">
      <c r="A27" s="15"/>
      <c r="B27" s="45"/>
      <c r="C27" s="15"/>
      <c r="D27" s="15"/>
      <c r="E27" s="31" t="s">
        <v>31</v>
      </c>
      <c r="F27" s="31" t="s">
        <v>531</v>
      </c>
      <c r="G27" s="15"/>
      <c r="H27" s="15"/>
      <c r="I27" s="15"/>
      <c r="J27" s="15"/>
      <c r="K27" s="15"/>
      <c r="L27" s="15"/>
      <c r="M27" s="15"/>
      <c r="N27" s="15"/>
      <c r="O27" s="15"/>
      <c r="P27" s="15"/>
      <c r="Q27" s="15"/>
      <c r="R27" s="15"/>
      <c r="S27" s="15"/>
      <c r="T27" s="15"/>
      <c r="U27" s="15"/>
      <c r="V27" s="15"/>
      <c r="W27" s="15"/>
      <c r="X27" s="15"/>
      <c r="Y27" s="15"/>
      <c r="Z27" s="15"/>
    </row>
    <row r="28" ht="14.25" customHeight="1">
      <c r="A28" s="15"/>
      <c r="B28" s="45"/>
      <c r="C28" s="15"/>
      <c r="D28" s="15"/>
      <c r="E28" s="55" t="s">
        <v>532</v>
      </c>
      <c r="F28" s="55" t="s">
        <v>533</v>
      </c>
      <c r="G28" s="15"/>
      <c r="H28" s="15"/>
      <c r="I28" s="15"/>
      <c r="J28" s="15"/>
      <c r="K28" s="15"/>
      <c r="L28" s="15"/>
      <c r="M28" s="15"/>
      <c r="N28" s="15"/>
      <c r="O28" s="15"/>
      <c r="P28" s="15"/>
      <c r="Q28" s="15"/>
      <c r="R28" s="15"/>
      <c r="S28" s="15"/>
      <c r="T28" s="15"/>
      <c r="U28" s="15"/>
      <c r="V28" s="15"/>
      <c r="W28" s="15"/>
      <c r="X28" s="15"/>
      <c r="Y28" s="15"/>
      <c r="Z28" s="15"/>
    </row>
    <row r="29" ht="14.25" customHeight="1">
      <c r="A29" s="15"/>
      <c r="B29" s="45"/>
      <c r="C29" s="15"/>
      <c r="D29" s="15"/>
      <c r="E29" s="31" t="s">
        <v>198</v>
      </c>
      <c r="F29" s="55" t="s">
        <v>534</v>
      </c>
      <c r="G29" s="15"/>
      <c r="H29" s="15"/>
      <c r="I29" s="15"/>
      <c r="J29" s="15"/>
      <c r="K29" s="15"/>
      <c r="L29" s="15"/>
      <c r="M29" s="15"/>
      <c r="N29" s="15"/>
      <c r="O29" s="15"/>
      <c r="P29" s="15"/>
      <c r="Q29" s="15"/>
      <c r="R29" s="15"/>
      <c r="S29" s="15"/>
      <c r="T29" s="15"/>
      <c r="U29" s="15"/>
      <c r="V29" s="15"/>
      <c r="W29" s="15"/>
      <c r="X29" s="15"/>
      <c r="Y29" s="15"/>
      <c r="Z29" s="15"/>
    </row>
    <row r="30" ht="14.25" customHeight="1">
      <c r="A30" s="15"/>
      <c r="B30" s="45"/>
      <c r="C30" s="15"/>
      <c r="D30" s="15"/>
      <c r="E30" s="31" t="s">
        <v>39</v>
      </c>
      <c r="F30" s="55" t="s">
        <v>535</v>
      </c>
      <c r="G30" s="15"/>
      <c r="H30" s="15"/>
      <c r="I30" s="15"/>
      <c r="J30" s="15"/>
      <c r="K30" s="15"/>
      <c r="L30" s="15"/>
      <c r="M30" s="15"/>
      <c r="N30" s="15"/>
      <c r="O30" s="15"/>
      <c r="P30" s="15"/>
      <c r="Q30" s="15"/>
      <c r="R30" s="15"/>
      <c r="S30" s="15"/>
      <c r="T30" s="15"/>
      <c r="U30" s="15"/>
      <c r="V30" s="15"/>
      <c r="W30" s="15"/>
      <c r="X30" s="15"/>
      <c r="Y30" s="15"/>
      <c r="Z30" s="15"/>
    </row>
    <row r="31" ht="14.25" customHeight="1">
      <c r="A31" s="15"/>
      <c r="B31" s="45"/>
      <c r="C31" s="15"/>
      <c r="D31" s="15"/>
      <c r="E31" s="55" t="s">
        <v>536</v>
      </c>
      <c r="F31" s="55" t="s">
        <v>537</v>
      </c>
      <c r="G31" s="15"/>
      <c r="H31" s="15"/>
      <c r="I31" s="15"/>
      <c r="J31" s="15"/>
      <c r="K31" s="15"/>
      <c r="L31" s="15"/>
      <c r="M31" s="15"/>
      <c r="N31" s="15"/>
      <c r="O31" s="15"/>
      <c r="P31" s="15"/>
      <c r="Q31" s="15"/>
      <c r="R31" s="15"/>
      <c r="S31" s="15"/>
      <c r="T31" s="15"/>
      <c r="U31" s="15"/>
      <c r="V31" s="15"/>
      <c r="W31" s="15"/>
      <c r="X31" s="15"/>
      <c r="Y31" s="15"/>
      <c r="Z31" s="15"/>
    </row>
    <row r="32" ht="14.25" customHeight="1">
      <c r="A32" s="15"/>
      <c r="B32" s="4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14.25" customHeight="1">
      <c r="A33" s="15"/>
      <c r="B33" s="4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14.25" customHeight="1">
      <c r="A34" s="15"/>
      <c r="B34" s="4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14.25" customHeight="1">
      <c r="A35" s="15"/>
      <c r="B35" s="4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14.25" customHeight="1">
      <c r="A36" s="15"/>
      <c r="B36" s="45"/>
      <c r="C36" s="15"/>
      <c r="D36" s="15"/>
      <c r="E36" s="57" t="s">
        <v>538</v>
      </c>
      <c r="F36" s="57" t="s">
        <v>529</v>
      </c>
      <c r="G36" s="15"/>
      <c r="H36" s="15"/>
      <c r="I36" s="15"/>
      <c r="J36" s="15"/>
      <c r="K36" s="15"/>
      <c r="L36" s="15"/>
      <c r="M36" s="15"/>
      <c r="N36" s="15"/>
      <c r="O36" s="15"/>
      <c r="P36" s="15"/>
      <c r="Q36" s="15"/>
      <c r="R36" s="15"/>
      <c r="S36" s="15"/>
      <c r="T36" s="15"/>
      <c r="U36" s="15"/>
      <c r="V36" s="15"/>
      <c r="W36" s="15"/>
      <c r="X36" s="15"/>
      <c r="Y36" s="15"/>
      <c r="Z36" s="15"/>
    </row>
    <row r="37" ht="14.25" customHeight="1">
      <c r="A37" s="15"/>
      <c r="B37" s="45"/>
      <c r="C37" s="15"/>
      <c r="D37" s="15"/>
      <c r="E37" s="31" t="s">
        <v>59</v>
      </c>
      <c r="F37" s="31" t="s">
        <v>539</v>
      </c>
      <c r="G37" s="15"/>
      <c r="H37" s="15"/>
      <c r="I37" s="15"/>
      <c r="J37" s="15"/>
      <c r="K37" s="15"/>
      <c r="L37" s="15"/>
      <c r="M37" s="15"/>
      <c r="N37" s="15"/>
      <c r="O37" s="15"/>
      <c r="P37" s="15"/>
      <c r="Q37" s="15"/>
      <c r="R37" s="15"/>
      <c r="S37" s="15"/>
      <c r="T37" s="15"/>
      <c r="U37" s="15"/>
      <c r="V37" s="15"/>
      <c r="W37" s="15"/>
      <c r="X37" s="15"/>
      <c r="Y37" s="15"/>
      <c r="Z37" s="15"/>
    </row>
    <row r="38" ht="14.25" customHeight="1">
      <c r="A38" s="15"/>
      <c r="B38" s="45"/>
      <c r="C38" s="15"/>
      <c r="D38" s="15"/>
      <c r="E38" s="31" t="s">
        <v>289</v>
      </c>
      <c r="F38" s="31" t="s">
        <v>540</v>
      </c>
      <c r="G38" s="15"/>
      <c r="H38" s="15"/>
      <c r="I38" s="15"/>
      <c r="J38" s="15"/>
      <c r="K38" s="15"/>
      <c r="L38" s="15"/>
      <c r="M38" s="15"/>
      <c r="N38" s="15"/>
      <c r="O38" s="15"/>
      <c r="P38" s="15"/>
      <c r="Q38" s="15"/>
      <c r="R38" s="15"/>
      <c r="S38" s="15"/>
      <c r="T38" s="15"/>
      <c r="U38" s="15"/>
      <c r="V38" s="15"/>
      <c r="W38" s="15"/>
      <c r="X38" s="15"/>
      <c r="Y38" s="15"/>
      <c r="Z38" s="15"/>
    </row>
    <row r="39" ht="14.25" customHeight="1">
      <c r="A39" s="15"/>
      <c r="B39" s="45"/>
      <c r="C39" s="15"/>
      <c r="D39" s="15"/>
      <c r="E39" s="31" t="s">
        <v>541</v>
      </c>
      <c r="F39" s="31" t="s">
        <v>542</v>
      </c>
      <c r="G39" s="15"/>
      <c r="H39" s="15"/>
      <c r="I39" s="15"/>
      <c r="J39" s="15"/>
      <c r="K39" s="15"/>
      <c r="L39" s="15"/>
      <c r="M39" s="15"/>
      <c r="N39" s="15"/>
      <c r="O39" s="15"/>
      <c r="P39" s="15"/>
      <c r="Q39" s="15"/>
      <c r="R39" s="15"/>
      <c r="S39" s="15"/>
      <c r="T39" s="15"/>
      <c r="U39" s="15"/>
      <c r="V39" s="15"/>
      <c r="W39" s="15"/>
      <c r="X39" s="15"/>
      <c r="Y39" s="15"/>
      <c r="Z39" s="15"/>
    </row>
    <row r="40" ht="14.25" customHeight="1">
      <c r="A40" s="15"/>
      <c r="B40" s="45"/>
      <c r="C40" s="15"/>
      <c r="D40" s="15"/>
      <c r="E40" s="31" t="s">
        <v>543</v>
      </c>
      <c r="F40" s="31" t="s">
        <v>544</v>
      </c>
      <c r="G40" s="15"/>
      <c r="H40" s="15"/>
      <c r="I40" s="15"/>
      <c r="J40" s="15"/>
      <c r="K40" s="15"/>
      <c r="L40" s="15"/>
      <c r="M40" s="15"/>
      <c r="N40" s="15"/>
      <c r="O40" s="15"/>
      <c r="P40" s="15"/>
      <c r="Q40" s="15"/>
      <c r="R40" s="15"/>
      <c r="S40" s="15"/>
      <c r="T40" s="15"/>
      <c r="U40" s="15"/>
      <c r="V40" s="15"/>
      <c r="W40" s="15"/>
      <c r="X40" s="15"/>
      <c r="Y40" s="15"/>
      <c r="Z40" s="15"/>
    </row>
    <row r="41" ht="14.25" customHeight="1">
      <c r="A41" s="15"/>
      <c r="B41" s="45"/>
      <c r="C41" s="15"/>
      <c r="D41" s="15"/>
      <c r="E41" s="31" t="s">
        <v>545</v>
      </c>
      <c r="F41" s="31" t="s">
        <v>546</v>
      </c>
      <c r="G41" s="15"/>
      <c r="H41" s="15"/>
      <c r="I41" s="15"/>
      <c r="J41" s="15"/>
      <c r="K41" s="15"/>
      <c r="L41" s="15"/>
      <c r="M41" s="15"/>
      <c r="N41" s="15"/>
      <c r="O41" s="15"/>
      <c r="P41" s="15"/>
      <c r="Q41" s="15"/>
      <c r="R41" s="15"/>
      <c r="S41" s="15"/>
      <c r="T41" s="15"/>
      <c r="U41" s="15"/>
      <c r="V41" s="15"/>
      <c r="W41" s="15"/>
      <c r="X41" s="15"/>
      <c r="Y41" s="15"/>
      <c r="Z41" s="15"/>
    </row>
    <row r="42" ht="14.25" customHeight="1">
      <c r="A42" s="15"/>
      <c r="B42" s="4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4.25" customHeight="1">
      <c r="A43" s="15"/>
      <c r="B43" s="4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4.25" customHeight="1">
      <c r="A44" s="15"/>
      <c r="B44" s="45"/>
      <c r="C44" s="15"/>
      <c r="D44" s="15"/>
      <c r="E44" s="57" t="s">
        <v>547</v>
      </c>
      <c r="F44" s="57" t="s">
        <v>529</v>
      </c>
      <c r="G44" s="15"/>
      <c r="H44" s="15"/>
      <c r="I44" s="15"/>
      <c r="J44" s="15"/>
      <c r="K44" s="15"/>
      <c r="L44" s="15"/>
      <c r="M44" s="15"/>
      <c r="N44" s="15"/>
      <c r="O44" s="15"/>
      <c r="P44" s="15"/>
      <c r="Q44" s="15"/>
      <c r="R44" s="15"/>
      <c r="S44" s="15"/>
      <c r="T44" s="15"/>
      <c r="U44" s="15"/>
      <c r="V44" s="15"/>
      <c r="W44" s="15"/>
      <c r="X44" s="15"/>
      <c r="Y44" s="15"/>
      <c r="Z44" s="15"/>
    </row>
    <row r="45" ht="14.25" customHeight="1">
      <c r="A45" s="15"/>
      <c r="B45" s="45"/>
      <c r="C45" s="15"/>
      <c r="D45" s="15"/>
      <c r="E45" s="31" t="s">
        <v>59</v>
      </c>
      <c r="F45" s="31" t="s">
        <v>548</v>
      </c>
      <c r="G45" s="15"/>
      <c r="H45" s="15"/>
      <c r="I45" s="15"/>
      <c r="J45" s="15"/>
      <c r="K45" s="15"/>
      <c r="L45" s="15"/>
      <c r="M45" s="15"/>
      <c r="N45" s="15"/>
      <c r="O45" s="15"/>
      <c r="P45" s="15"/>
      <c r="Q45" s="15"/>
      <c r="R45" s="15"/>
      <c r="S45" s="15"/>
      <c r="T45" s="15"/>
      <c r="U45" s="15"/>
      <c r="V45" s="15"/>
      <c r="W45" s="15"/>
      <c r="X45" s="15"/>
      <c r="Y45" s="15"/>
      <c r="Z45" s="15"/>
    </row>
    <row r="46" ht="14.25" customHeight="1">
      <c r="A46" s="15"/>
      <c r="B46" s="45"/>
      <c r="C46" s="15"/>
      <c r="D46" s="15"/>
      <c r="E46" s="31" t="s">
        <v>289</v>
      </c>
      <c r="F46" s="31" t="s">
        <v>549</v>
      </c>
      <c r="G46" s="15"/>
      <c r="H46" s="15"/>
      <c r="I46" s="15"/>
      <c r="J46" s="15"/>
      <c r="K46" s="15"/>
      <c r="L46" s="15"/>
      <c r="M46" s="15"/>
      <c r="N46" s="15"/>
      <c r="O46" s="15"/>
      <c r="P46" s="15"/>
      <c r="Q46" s="15"/>
      <c r="R46" s="15"/>
      <c r="S46" s="15"/>
      <c r="T46" s="15"/>
      <c r="U46" s="15"/>
      <c r="V46" s="15"/>
      <c r="W46" s="15"/>
      <c r="X46" s="15"/>
      <c r="Y46" s="15"/>
      <c r="Z46" s="15"/>
    </row>
    <row r="47" ht="14.25" customHeight="1">
      <c r="A47" s="15"/>
      <c r="B47" s="45"/>
      <c r="C47" s="15"/>
      <c r="D47" s="15"/>
      <c r="E47" s="31" t="s">
        <v>541</v>
      </c>
      <c r="F47" s="31" t="s">
        <v>550</v>
      </c>
      <c r="G47" s="15"/>
      <c r="H47" s="15"/>
      <c r="I47" s="15"/>
      <c r="J47" s="15"/>
      <c r="K47" s="15"/>
      <c r="L47" s="15"/>
      <c r="M47" s="15"/>
      <c r="N47" s="15"/>
      <c r="O47" s="15"/>
      <c r="P47" s="15"/>
      <c r="Q47" s="15"/>
      <c r="R47" s="15"/>
      <c r="S47" s="15"/>
      <c r="T47" s="15"/>
      <c r="U47" s="15"/>
      <c r="V47" s="15"/>
      <c r="W47" s="15"/>
      <c r="X47" s="15"/>
      <c r="Y47" s="15"/>
      <c r="Z47" s="15"/>
    </row>
    <row r="48" ht="14.25" customHeight="1">
      <c r="A48" s="15"/>
      <c r="B48" s="45"/>
      <c r="C48" s="15"/>
      <c r="D48" s="15"/>
      <c r="E48" s="31" t="s">
        <v>543</v>
      </c>
      <c r="F48" s="31" t="s">
        <v>551</v>
      </c>
      <c r="G48" s="15"/>
      <c r="H48" s="15"/>
      <c r="I48" s="15"/>
      <c r="J48" s="15"/>
      <c r="K48" s="15"/>
      <c r="L48" s="15"/>
      <c r="M48" s="15"/>
      <c r="N48" s="15"/>
      <c r="O48" s="15"/>
      <c r="P48" s="15"/>
      <c r="Q48" s="15"/>
      <c r="R48" s="15"/>
      <c r="S48" s="15"/>
      <c r="T48" s="15"/>
      <c r="U48" s="15"/>
      <c r="V48" s="15"/>
      <c r="W48" s="15"/>
      <c r="X48" s="15"/>
      <c r="Y48" s="15"/>
      <c r="Z48" s="15"/>
    </row>
    <row r="49" ht="14.25" customHeight="1">
      <c r="A49" s="15"/>
      <c r="B49" s="45"/>
      <c r="C49" s="15"/>
      <c r="D49" s="15"/>
      <c r="E49" s="31" t="s">
        <v>545</v>
      </c>
      <c r="F49" s="31" t="s">
        <v>552</v>
      </c>
      <c r="G49" s="15"/>
      <c r="H49" s="15"/>
      <c r="I49" s="15"/>
      <c r="J49" s="15"/>
      <c r="K49" s="15"/>
      <c r="L49" s="15"/>
      <c r="M49" s="15"/>
      <c r="N49" s="15"/>
      <c r="O49" s="15"/>
      <c r="P49" s="15"/>
      <c r="Q49" s="15"/>
      <c r="R49" s="15"/>
      <c r="S49" s="15"/>
      <c r="T49" s="15"/>
      <c r="U49" s="15"/>
      <c r="V49" s="15"/>
      <c r="W49" s="15"/>
      <c r="X49" s="15"/>
      <c r="Y49" s="15"/>
      <c r="Z49" s="15"/>
    </row>
    <row r="50" ht="14.25" customHeight="1">
      <c r="A50" s="15"/>
      <c r="B50" s="45"/>
      <c r="C50" s="15"/>
      <c r="D50" s="15"/>
      <c r="E50" s="31" t="s">
        <v>553</v>
      </c>
      <c r="F50" s="31" t="s">
        <v>554</v>
      </c>
      <c r="G50" s="15"/>
      <c r="H50" s="15"/>
      <c r="I50" s="15"/>
      <c r="J50" s="15"/>
      <c r="K50" s="15"/>
      <c r="L50" s="15"/>
      <c r="M50" s="15"/>
      <c r="N50" s="15"/>
      <c r="O50" s="15"/>
      <c r="P50" s="15"/>
      <c r="Q50" s="15"/>
      <c r="R50" s="15"/>
      <c r="S50" s="15"/>
      <c r="T50" s="15"/>
      <c r="U50" s="15"/>
      <c r="V50" s="15"/>
      <c r="W50" s="15"/>
      <c r="X50" s="15"/>
      <c r="Y50" s="15"/>
      <c r="Z50" s="15"/>
    </row>
    <row r="51" ht="14.25" customHeight="1">
      <c r="A51" s="15"/>
      <c r="B51" s="4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4.25" customHeight="1">
      <c r="A52" s="15"/>
      <c r="B52" s="4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4.25" customHeight="1">
      <c r="A53" s="15"/>
      <c r="B53" s="45"/>
      <c r="C53" s="15"/>
      <c r="D53" s="15"/>
      <c r="E53" s="56" t="s">
        <v>555</v>
      </c>
      <c r="F53" s="57" t="s">
        <v>529</v>
      </c>
      <c r="G53" s="15"/>
      <c r="H53" s="15"/>
      <c r="I53" s="15"/>
      <c r="J53" s="15"/>
      <c r="K53" s="15"/>
      <c r="L53" s="15"/>
      <c r="M53" s="15"/>
      <c r="N53" s="15"/>
      <c r="O53" s="15"/>
      <c r="P53" s="15"/>
      <c r="Q53" s="15"/>
      <c r="R53" s="15"/>
      <c r="S53" s="15"/>
      <c r="T53" s="15"/>
      <c r="U53" s="15"/>
      <c r="V53" s="15"/>
      <c r="W53" s="15"/>
      <c r="X53" s="15"/>
      <c r="Y53" s="15"/>
      <c r="Z53" s="15"/>
    </row>
    <row r="54" ht="14.25" customHeight="1">
      <c r="A54" s="15"/>
      <c r="B54" s="45"/>
      <c r="C54" s="15"/>
      <c r="D54" s="15"/>
      <c r="E54" s="31" t="s">
        <v>200</v>
      </c>
      <c r="F54" s="31" t="s">
        <v>556</v>
      </c>
      <c r="G54" s="15"/>
      <c r="H54" s="15"/>
      <c r="I54" s="15"/>
      <c r="J54" s="15"/>
      <c r="K54" s="15"/>
      <c r="L54" s="15"/>
      <c r="M54" s="15"/>
      <c r="N54" s="15"/>
      <c r="O54" s="15"/>
      <c r="P54" s="15"/>
      <c r="Q54" s="15"/>
      <c r="R54" s="15"/>
      <c r="S54" s="15"/>
      <c r="T54" s="15"/>
      <c r="U54" s="15"/>
      <c r="V54" s="15"/>
      <c r="W54" s="15"/>
      <c r="X54" s="15"/>
      <c r="Y54" s="15"/>
      <c r="Z54" s="15"/>
    </row>
    <row r="55" ht="14.25" customHeight="1">
      <c r="A55" s="15"/>
      <c r="B55" s="45"/>
      <c r="C55" s="15"/>
      <c r="D55" s="15"/>
      <c r="E55" s="31" t="s">
        <v>557</v>
      </c>
      <c r="F55" s="31" t="s">
        <v>558</v>
      </c>
      <c r="G55" s="15"/>
      <c r="H55" s="15"/>
      <c r="I55" s="15"/>
      <c r="J55" s="15"/>
      <c r="K55" s="15"/>
      <c r="L55" s="15"/>
      <c r="M55" s="15"/>
      <c r="N55" s="15"/>
      <c r="O55" s="15"/>
      <c r="P55" s="15"/>
      <c r="Q55" s="15"/>
      <c r="R55" s="15"/>
      <c r="S55" s="15"/>
      <c r="T55" s="15"/>
      <c r="U55" s="15"/>
      <c r="V55" s="15"/>
      <c r="W55" s="15"/>
      <c r="X55" s="15"/>
      <c r="Y55" s="15"/>
      <c r="Z55" s="15"/>
    </row>
    <row r="56" ht="14.25" customHeight="1">
      <c r="A56" s="15"/>
      <c r="B56" s="45"/>
      <c r="C56" s="15"/>
      <c r="D56" s="15"/>
      <c r="E56" s="31" t="s">
        <v>559</v>
      </c>
      <c r="F56" s="31" t="s">
        <v>560</v>
      </c>
      <c r="G56" s="15"/>
      <c r="H56" s="15"/>
      <c r="I56" s="15"/>
      <c r="J56" s="15"/>
      <c r="K56" s="15"/>
      <c r="L56" s="15"/>
      <c r="M56" s="15"/>
      <c r="N56" s="15"/>
      <c r="O56" s="15"/>
      <c r="P56" s="15"/>
      <c r="Q56" s="15"/>
      <c r="R56" s="15"/>
      <c r="S56" s="15"/>
      <c r="T56" s="15"/>
      <c r="U56" s="15"/>
      <c r="V56" s="15"/>
      <c r="W56" s="15"/>
      <c r="X56" s="15"/>
      <c r="Y56" s="15"/>
      <c r="Z56" s="15"/>
    </row>
    <row r="57" ht="14.25" customHeight="1">
      <c r="A57" s="15"/>
      <c r="B57" s="45"/>
      <c r="C57" s="15"/>
      <c r="D57" s="15"/>
      <c r="E57" s="31" t="s">
        <v>561</v>
      </c>
      <c r="F57" s="31" t="s">
        <v>562</v>
      </c>
      <c r="G57" s="15"/>
      <c r="H57" s="15"/>
      <c r="I57" s="15"/>
      <c r="J57" s="15"/>
      <c r="K57" s="15"/>
      <c r="L57" s="15"/>
      <c r="M57" s="15"/>
      <c r="N57" s="15"/>
      <c r="O57" s="15"/>
      <c r="P57" s="15"/>
      <c r="Q57" s="15"/>
      <c r="R57" s="15"/>
      <c r="S57" s="15"/>
      <c r="T57" s="15"/>
      <c r="U57" s="15"/>
      <c r="V57" s="15"/>
      <c r="W57" s="15"/>
      <c r="X57" s="15"/>
      <c r="Y57" s="15"/>
      <c r="Z57" s="15"/>
    </row>
    <row r="58" ht="14.25" customHeight="1">
      <c r="A58" s="15"/>
      <c r="B58" s="4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4.25" customHeight="1">
      <c r="A59" s="15"/>
      <c r="B59" s="4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4.25" customHeight="1">
      <c r="A60" s="15"/>
      <c r="B60" s="4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4.25" customHeight="1">
      <c r="A61" s="15"/>
      <c r="B61" s="4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4.25" customHeight="1">
      <c r="A62" s="15"/>
      <c r="B62" s="4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4.25" customHeight="1">
      <c r="A63" s="15"/>
      <c r="B63" s="4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4.25" customHeight="1">
      <c r="A64" s="15"/>
      <c r="B64" s="4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4.25" customHeight="1">
      <c r="A65" s="15"/>
      <c r="B65" s="4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4.25" customHeight="1">
      <c r="A66" s="15"/>
      <c r="B66" s="4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4.25" customHeight="1">
      <c r="A67" s="15"/>
      <c r="B67" s="4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4.25" customHeight="1">
      <c r="A68" s="15"/>
      <c r="B68" s="4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4.25" customHeight="1">
      <c r="A69" s="15"/>
      <c r="B69" s="4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4.25" customHeight="1">
      <c r="A70" s="15"/>
      <c r="B70" s="4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4.25" customHeight="1">
      <c r="A71" s="15"/>
      <c r="B71" s="4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4.25" customHeight="1">
      <c r="A72" s="15"/>
      <c r="B72" s="4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4.25" customHeight="1">
      <c r="A73" s="15"/>
      <c r="B73" s="4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4.25" customHeight="1">
      <c r="A74" s="15"/>
      <c r="B74" s="4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4.25" customHeight="1">
      <c r="A75" s="15"/>
      <c r="B75" s="4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4.25" customHeight="1">
      <c r="A76" s="15"/>
      <c r="B76" s="4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4.25" customHeight="1">
      <c r="A77" s="15"/>
      <c r="B77" s="4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4.25" customHeight="1">
      <c r="A78" s="15"/>
      <c r="B78" s="4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4.25" customHeight="1">
      <c r="A79" s="15"/>
      <c r="B79" s="4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4.25" customHeight="1">
      <c r="A80" s="15"/>
      <c r="B80" s="4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4.25" customHeight="1">
      <c r="A81" s="15"/>
      <c r="B81" s="4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4.25" customHeight="1">
      <c r="A82" s="15"/>
      <c r="B82" s="4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4.25" customHeight="1">
      <c r="A83" s="15"/>
      <c r="B83" s="4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4.25" customHeight="1">
      <c r="A84" s="15"/>
      <c r="B84" s="4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4.25" customHeight="1">
      <c r="A85" s="15"/>
      <c r="B85" s="4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4.25" customHeight="1">
      <c r="A86" s="15"/>
      <c r="B86" s="4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4.25" customHeight="1">
      <c r="A87" s="15"/>
      <c r="B87" s="4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4.25" customHeight="1">
      <c r="A88" s="15"/>
      <c r="B88" s="4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4.25" customHeight="1">
      <c r="A89" s="15"/>
      <c r="B89" s="4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4.25" customHeight="1">
      <c r="A90" s="15"/>
      <c r="B90" s="4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4.25" customHeight="1">
      <c r="A91" s="15"/>
      <c r="B91" s="4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4.25" customHeight="1">
      <c r="A92" s="15"/>
      <c r="B92" s="4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4.25" customHeight="1">
      <c r="A93" s="15"/>
      <c r="B93" s="4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4.25" customHeight="1">
      <c r="A94" s="15"/>
      <c r="B94" s="4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4.25" customHeight="1">
      <c r="A95" s="15"/>
      <c r="B95" s="4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4.25" customHeight="1">
      <c r="A96" s="15"/>
      <c r="B96" s="4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4.25" customHeight="1">
      <c r="A97" s="15"/>
      <c r="B97" s="4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4.25" customHeight="1">
      <c r="A98" s="15"/>
      <c r="B98" s="4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4.25" customHeight="1">
      <c r="A99" s="15"/>
      <c r="B99" s="4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4.25" customHeight="1">
      <c r="A100" s="15"/>
      <c r="B100" s="4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4.25" customHeight="1">
      <c r="A101" s="15"/>
      <c r="B101" s="4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4.25" customHeight="1">
      <c r="A102" s="15"/>
      <c r="B102" s="4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4.25" customHeight="1">
      <c r="A103" s="15"/>
      <c r="B103" s="4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4.25" customHeight="1">
      <c r="A104" s="15"/>
      <c r="B104" s="4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4.25" customHeight="1">
      <c r="A105" s="15"/>
      <c r="B105" s="4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4.25" customHeight="1">
      <c r="A106" s="15"/>
      <c r="B106" s="4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4.25" customHeight="1">
      <c r="A107" s="15"/>
      <c r="B107" s="4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4.25" customHeight="1">
      <c r="A108" s="15"/>
      <c r="B108" s="4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4.25" customHeight="1">
      <c r="A109" s="15"/>
      <c r="B109" s="4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4.25" customHeight="1">
      <c r="A110" s="15"/>
      <c r="B110" s="4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4.25" customHeight="1">
      <c r="A111" s="15"/>
      <c r="B111" s="4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4.25" customHeight="1">
      <c r="A112" s="15"/>
      <c r="B112" s="4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4.25" customHeight="1">
      <c r="A113" s="15"/>
      <c r="B113" s="4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4.25" customHeight="1">
      <c r="A114" s="15"/>
      <c r="B114" s="4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4.25" customHeight="1">
      <c r="A115" s="15"/>
      <c r="B115" s="4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4.25" customHeight="1">
      <c r="A116" s="15"/>
      <c r="B116" s="4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4.25" customHeight="1">
      <c r="A117" s="15"/>
      <c r="B117" s="4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4.25" customHeight="1">
      <c r="A118" s="15"/>
      <c r="B118" s="4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4.25" customHeight="1">
      <c r="A119" s="15"/>
      <c r="B119" s="4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4.25" customHeight="1">
      <c r="A120" s="15"/>
      <c r="B120" s="4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4.25" customHeight="1">
      <c r="A121" s="15"/>
      <c r="B121" s="4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4.25" customHeight="1">
      <c r="A122" s="15"/>
      <c r="B122" s="4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4.25" customHeight="1">
      <c r="A123" s="15"/>
      <c r="B123" s="4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4.25" customHeight="1">
      <c r="A124" s="15"/>
      <c r="B124" s="4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4.25" customHeight="1">
      <c r="A125" s="15"/>
      <c r="B125" s="4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4.25" customHeight="1">
      <c r="A126" s="15"/>
      <c r="B126" s="4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4.25" customHeight="1">
      <c r="A127" s="15"/>
      <c r="B127" s="4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4.25" customHeight="1">
      <c r="A128" s="15"/>
      <c r="B128" s="4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4.25" customHeight="1">
      <c r="A129" s="15"/>
      <c r="B129" s="4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4.25" customHeight="1">
      <c r="A130" s="15"/>
      <c r="B130" s="4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4.25" customHeight="1">
      <c r="A131" s="15"/>
      <c r="B131" s="4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4.25" customHeight="1">
      <c r="A132" s="15"/>
      <c r="B132" s="4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4.25" customHeight="1">
      <c r="A133" s="15"/>
      <c r="B133" s="4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4.25" customHeight="1">
      <c r="A134" s="15"/>
      <c r="B134" s="4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4.25" customHeight="1">
      <c r="A135" s="15"/>
      <c r="B135" s="4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4.25" customHeight="1">
      <c r="A136" s="15"/>
      <c r="B136" s="4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4.25" customHeight="1">
      <c r="A137" s="15"/>
      <c r="B137" s="4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4.25" customHeight="1">
      <c r="A138" s="15"/>
      <c r="B138" s="4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4.25" customHeight="1">
      <c r="A139" s="15"/>
      <c r="B139" s="4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4.25" customHeight="1">
      <c r="A140" s="15"/>
      <c r="B140" s="4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4.25" customHeight="1">
      <c r="A141" s="15"/>
      <c r="B141" s="4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4.25" customHeight="1">
      <c r="A142" s="15"/>
      <c r="B142" s="4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4.25" customHeight="1">
      <c r="A143" s="15"/>
      <c r="B143" s="4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4.25" customHeight="1">
      <c r="A144" s="15"/>
      <c r="B144" s="4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4.25" customHeight="1">
      <c r="A145" s="15"/>
      <c r="B145" s="4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4.25" customHeight="1">
      <c r="A146" s="15"/>
      <c r="B146" s="4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4.25" customHeight="1">
      <c r="A147" s="15"/>
      <c r="B147" s="4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4.25" customHeight="1">
      <c r="A148" s="15"/>
      <c r="B148" s="4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4.25" customHeight="1">
      <c r="A149" s="15"/>
      <c r="B149" s="4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4.25" customHeight="1">
      <c r="A150" s="15"/>
      <c r="B150" s="4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4.25" customHeight="1">
      <c r="A151" s="15"/>
      <c r="B151" s="4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4.25" customHeight="1">
      <c r="A152" s="15"/>
      <c r="B152" s="4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4.25" customHeight="1">
      <c r="A153" s="15"/>
      <c r="B153" s="4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4.25" customHeight="1">
      <c r="A154" s="15"/>
      <c r="B154" s="4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4.25" customHeight="1">
      <c r="A155" s="15"/>
      <c r="B155" s="4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4.25" customHeight="1">
      <c r="A156" s="15"/>
      <c r="B156" s="4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4.25" customHeight="1">
      <c r="A157" s="15"/>
      <c r="B157" s="4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4.25" customHeight="1">
      <c r="A158" s="15"/>
      <c r="B158" s="4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4.25" customHeight="1">
      <c r="A159" s="15"/>
      <c r="B159" s="4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4.25" customHeight="1">
      <c r="A160" s="15"/>
      <c r="B160" s="4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4.25" customHeight="1">
      <c r="A161" s="15"/>
      <c r="B161" s="4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4.25" customHeight="1">
      <c r="A162" s="15"/>
      <c r="B162" s="4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4.25" customHeight="1">
      <c r="A163" s="15"/>
      <c r="B163" s="4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4.25" customHeight="1">
      <c r="A164" s="15"/>
      <c r="B164" s="4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4.25" customHeight="1">
      <c r="A165" s="15"/>
      <c r="B165" s="4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4.25" customHeight="1">
      <c r="A166" s="15"/>
      <c r="B166" s="4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4.25" customHeight="1">
      <c r="A167" s="15"/>
      <c r="B167" s="4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4.25" customHeight="1">
      <c r="A168" s="15"/>
      <c r="B168" s="4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4.25" customHeight="1">
      <c r="A169" s="15"/>
      <c r="B169" s="4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4.25" customHeight="1">
      <c r="A170" s="15"/>
      <c r="B170" s="4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4.25" customHeight="1">
      <c r="A171" s="15"/>
      <c r="B171" s="4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4.25" customHeight="1">
      <c r="A172" s="15"/>
      <c r="B172" s="4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4.25" customHeight="1">
      <c r="A173" s="15"/>
      <c r="B173" s="4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4.25" customHeight="1">
      <c r="A174" s="15"/>
      <c r="B174" s="4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4.25" customHeight="1">
      <c r="A175" s="15"/>
      <c r="B175" s="4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4.25" customHeight="1">
      <c r="A176" s="15"/>
      <c r="B176" s="4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4.25" customHeight="1">
      <c r="A177" s="15"/>
      <c r="B177" s="4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4.25" customHeight="1">
      <c r="A178" s="15"/>
      <c r="B178" s="4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4.25" customHeight="1">
      <c r="A179" s="15"/>
      <c r="B179" s="4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4.25" customHeight="1">
      <c r="A180" s="15"/>
      <c r="B180" s="4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4.25" customHeight="1">
      <c r="A181" s="15"/>
      <c r="B181" s="4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4.25" customHeight="1">
      <c r="A182" s="15"/>
      <c r="B182" s="4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4.25" customHeight="1">
      <c r="A183" s="15"/>
      <c r="B183" s="4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4.25" customHeight="1">
      <c r="A184" s="15"/>
      <c r="B184" s="4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4.25" customHeight="1">
      <c r="A185" s="15"/>
      <c r="B185" s="4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4.25" customHeight="1">
      <c r="A186" s="15"/>
      <c r="B186" s="4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4.25" customHeight="1">
      <c r="A187" s="15"/>
      <c r="B187" s="4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4.25" customHeight="1">
      <c r="A188" s="15"/>
      <c r="B188" s="4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4.25" customHeight="1">
      <c r="A189" s="15"/>
      <c r="B189" s="4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4.25" customHeight="1">
      <c r="A190" s="15"/>
      <c r="B190" s="4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4.25" customHeight="1">
      <c r="A191" s="15"/>
      <c r="B191" s="4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4.25" customHeight="1">
      <c r="A192" s="15"/>
      <c r="B192" s="4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4.25" customHeight="1">
      <c r="A193" s="15"/>
      <c r="B193" s="4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4.25" customHeight="1">
      <c r="A194" s="15"/>
      <c r="B194" s="4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4.25" customHeight="1">
      <c r="A195" s="15"/>
      <c r="B195" s="4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4.25" customHeight="1">
      <c r="A196" s="15"/>
      <c r="B196" s="4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4.25" customHeight="1">
      <c r="A197" s="15"/>
      <c r="B197" s="4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4.25" customHeight="1">
      <c r="A198" s="15"/>
      <c r="B198" s="4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4.25" customHeight="1">
      <c r="A199" s="15"/>
      <c r="B199" s="4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4.25" customHeight="1">
      <c r="A200" s="15"/>
      <c r="B200" s="4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4.25" customHeight="1">
      <c r="A201" s="15"/>
      <c r="B201" s="4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4.25" customHeight="1">
      <c r="A202" s="15"/>
      <c r="B202" s="4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4.25" customHeight="1">
      <c r="A203" s="15"/>
      <c r="B203" s="4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4.25" customHeight="1">
      <c r="A204" s="15"/>
      <c r="B204" s="4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4.25" customHeight="1">
      <c r="A205" s="15"/>
      <c r="B205" s="4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4.25" customHeight="1">
      <c r="A206" s="15"/>
      <c r="B206" s="4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4.25" customHeight="1">
      <c r="A207" s="15"/>
      <c r="B207" s="4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4.25" customHeight="1">
      <c r="A208" s="15"/>
      <c r="B208" s="4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4.25" customHeight="1">
      <c r="A209" s="15"/>
      <c r="B209" s="4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4.25" customHeight="1">
      <c r="A210" s="15"/>
      <c r="B210" s="4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4.25" customHeight="1">
      <c r="A211" s="15"/>
      <c r="B211" s="4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4.25" customHeight="1">
      <c r="A212" s="15"/>
      <c r="B212" s="4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4.25" customHeight="1">
      <c r="A213" s="15"/>
      <c r="B213" s="4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4.25" customHeight="1">
      <c r="A214" s="15"/>
      <c r="B214" s="4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4.25" customHeight="1">
      <c r="A215" s="15"/>
      <c r="B215" s="4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4.25" customHeight="1">
      <c r="A216" s="15"/>
      <c r="B216" s="4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4.25" customHeight="1">
      <c r="A217" s="15"/>
      <c r="B217" s="4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4.25" customHeight="1">
      <c r="A218" s="15"/>
      <c r="B218" s="4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4.25" customHeight="1">
      <c r="A219" s="15"/>
      <c r="B219" s="4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4.25" customHeight="1">
      <c r="A220" s="15"/>
      <c r="B220" s="4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4.25" customHeight="1">
      <c r="A221" s="15"/>
      <c r="B221" s="4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4.25" customHeight="1">
      <c r="A222" s="15"/>
      <c r="B222" s="4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4.25" customHeight="1">
      <c r="A223" s="15"/>
      <c r="B223" s="4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4.25" customHeight="1">
      <c r="A224" s="15"/>
      <c r="B224" s="4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4.25" customHeight="1">
      <c r="A225" s="15"/>
      <c r="B225" s="4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4.25" customHeight="1">
      <c r="A226" s="15"/>
      <c r="B226" s="4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4.25" customHeight="1">
      <c r="A227" s="15"/>
      <c r="B227" s="4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4.25" customHeight="1">
      <c r="A228" s="15"/>
      <c r="B228" s="4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4.25" customHeight="1">
      <c r="A229" s="15"/>
      <c r="B229" s="4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4.25" customHeight="1">
      <c r="A230" s="15"/>
      <c r="B230" s="4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4.25" customHeight="1">
      <c r="A231" s="15"/>
      <c r="B231" s="4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4.25" customHeight="1">
      <c r="A232" s="15"/>
      <c r="B232" s="4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4.25" customHeight="1">
      <c r="A233" s="15"/>
      <c r="B233" s="4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4.25" customHeight="1">
      <c r="A234" s="15"/>
      <c r="B234" s="4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4.25" customHeight="1">
      <c r="A235" s="15"/>
      <c r="B235" s="4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4.25" customHeight="1">
      <c r="A236" s="15"/>
      <c r="B236" s="4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4.25" customHeight="1">
      <c r="A237" s="15"/>
      <c r="B237" s="4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4.25" customHeight="1">
      <c r="A238" s="15"/>
      <c r="B238" s="4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4.25" customHeight="1">
      <c r="A239" s="15"/>
      <c r="B239" s="4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4.25" customHeight="1">
      <c r="A240" s="15"/>
      <c r="B240" s="4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4.25" customHeight="1">
      <c r="A241" s="15"/>
      <c r="B241" s="4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4.25" customHeight="1">
      <c r="A242" s="15"/>
      <c r="B242" s="4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4.25" customHeight="1">
      <c r="A243" s="15"/>
      <c r="B243" s="4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4.25" customHeight="1">
      <c r="A244" s="15"/>
      <c r="B244" s="4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4.25" customHeight="1">
      <c r="A245" s="15"/>
      <c r="B245" s="4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4.25" customHeight="1">
      <c r="A246" s="15"/>
      <c r="B246" s="4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4.25" customHeight="1">
      <c r="A247" s="15"/>
      <c r="B247" s="4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4.25" customHeight="1">
      <c r="A248" s="15"/>
      <c r="B248" s="4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4.25" customHeight="1">
      <c r="A249" s="15"/>
      <c r="B249" s="4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4.25" customHeight="1">
      <c r="A250" s="15"/>
      <c r="B250" s="4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4.25" customHeight="1">
      <c r="A251" s="15"/>
      <c r="B251" s="4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4.25" customHeight="1">
      <c r="A252" s="15"/>
      <c r="B252" s="4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4.25" customHeight="1">
      <c r="A253" s="15"/>
      <c r="B253" s="4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4.25" customHeight="1">
      <c r="A254" s="15"/>
      <c r="B254" s="4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4.25" customHeight="1">
      <c r="A255" s="15"/>
      <c r="B255" s="4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4.25" customHeight="1">
      <c r="A256" s="15"/>
      <c r="B256" s="4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4.25" customHeight="1">
      <c r="A257" s="15"/>
      <c r="B257" s="4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4.25" customHeight="1">
      <c r="A258" s="15"/>
      <c r="B258" s="4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4.25" customHeight="1">
      <c r="A259" s="15"/>
      <c r="B259" s="4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4.25" customHeight="1">
      <c r="A260" s="15"/>
      <c r="B260" s="4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4.25" customHeight="1">
      <c r="A261" s="15"/>
      <c r="B261" s="4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4.25" customHeight="1">
      <c r="A262" s="15"/>
      <c r="B262" s="4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4.25" customHeight="1">
      <c r="A263" s="15"/>
      <c r="B263" s="4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4.25" customHeight="1">
      <c r="A264" s="15"/>
      <c r="B264" s="4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4.25" customHeight="1">
      <c r="A265" s="15"/>
      <c r="B265" s="4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4.25" customHeight="1">
      <c r="A266" s="15"/>
      <c r="B266" s="4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4.25" customHeight="1">
      <c r="A267" s="15"/>
      <c r="B267" s="4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4.25" customHeight="1">
      <c r="A268" s="15"/>
      <c r="B268" s="4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4.25" customHeight="1">
      <c r="A269" s="15"/>
      <c r="B269" s="4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4.25" customHeight="1">
      <c r="A270" s="15"/>
      <c r="B270" s="4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4.25" customHeight="1">
      <c r="A271" s="15"/>
      <c r="B271" s="4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4.25" customHeight="1">
      <c r="A272" s="15"/>
      <c r="B272" s="4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4.25" customHeight="1">
      <c r="A273" s="15"/>
      <c r="B273" s="4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4.25" customHeight="1">
      <c r="A274" s="15"/>
      <c r="B274" s="4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4.25" customHeight="1">
      <c r="A275" s="15"/>
      <c r="B275" s="4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4.25" customHeight="1">
      <c r="A276" s="15"/>
      <c r="B276" s="4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4.25" customHeight="1">
      <c r="A277" s="15"/>
      <c r="B277" s="4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4.25" customHeight="1">
      <c r="A278" s="15"/>
      <c r="B278" s="4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4.25" customHeight="1">
      <c r="A279" s="15"/>
      <c r="B279" s="4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4.25" customHeight="1">
      <c r="A280" s="15"/>
      <c r="B280" s="4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4.25" customHeight="1">
      <c r="A281" s="15"/>
      <c r="B281" s="4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4.25" customHeight="1">
      <c r="A282" s="15"/>
      <c r="B282" s="4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4.25" customHeight="1">
      <c r="A283" s="15"/>
      <c r="B283" s="4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4.25" customHeight="1">
      <c r="A284" s="15"/>
      <c r="B284" s="4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4.25" customHeight="1">
      <c r="A285" s="15"/>
      <c r="B285" s="4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4.25" customHeight="1">
      <c r="A286" s="15"/>
      <c r="B286" s="4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4.25" customHeight="1">
      <c r="A287" s="15"/>
      <c r="B287" s="4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4.25" customHeight="1">
      <c r="A288" s="15"/>
      <c r="B288" s="4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4.25" customHeight="1">
      <c r="A289" s="15"/>
      <c r="B289" s="4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4.25" customHeight="1">
      <c r="A290" s="15"/>
      <c r="B290" s="4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4.25" customHeight="1">
      <c r="A291" s="15"/>
      <c r="B291" s="4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4.25" customHeight="1">
      <c r="A292" s="15"/>
      <c r="B292" s="4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4.25" customHeight="1">
      <c r="A293" s="15"/>
      <c r="B293" s="4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4.25" customHeight="1">
      <c r="A294" s="15"/>
      <c r="B294" s="4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4.25" customHeight="1">
      <c r="A295" s="15"/>
      <c r="B295" s="4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4.25" customHeight="1">
      <c r="A296" s="15"/>
      <c r="B296" s="4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4.25" customHeight="1">
      <c r="A297" s="15"/>
      <c r="B297" s="4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4.25" customHeight="1">
      <c r="A298" s="15"/>
      <c r="B298" s="4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4.25" customHeight="1">
      <c r="A299" s="15"/>
      <c r="B299" s="4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4.25" customHeight="1">
      <c r="A300" s="15"/>
      <c r="B300" s="4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4.25" customHeight="1">
      <c r="A301" s="15"/>
      <c r="B301" s="4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4.25" customHeight="1">
      <c r="A302" s="15"/>
      <c r="B302" s="4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4.25" customHeight="1">
      <c r="A303" s="15"/>
      <c r="B303" s="4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4.25" customHeight="1">
      <c r="A304" s="15"/>
      <c r="B304" s="4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4.25" customHeight="1">
      <c r="A305" s="15"/>
      <c r="B305" s="4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4.25" customHeight="1">
      <c r="A306" s="15"/>
      <c r="B306" s="4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4.25" customHeight="1">
      <c r="A307" s="15"/>
      <c r="B307" s="4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4.25" customHeight="1">
      <c r="A308" s="15"/>
      <c r="B308" s="4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4.25" customHeight="1">
      <c r="A309" s="15"/>
      <c r="B309" s="4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4.25" customHeight="1">
      <c r="A310" s="15"/>
      <c r="B310" s="4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4.25" customHeight="1">
      <c r="A311" s="15"/>
      <c r="B311" s="4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4.25" customHeight="1">
      <c r="A312" s="15"/>
      <c r="B312" s="4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4.25" customHeight="1">
      <c r="A313" s="15"/>
      <c r="B313" s="4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4.25" customHeight="1">
      <c r="A314" s="15"/>
      <c r="B314" s="4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4.25" customHeight="1">
      <c r="A315" s="15"/>
      <c r="B315" s="4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4.25" customHeight="1">
      <c r="A316" s="15"/>
      <c r="B316" s="4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4.25" customHeight="1">
      <c r="A317" s="15"/>
      <c r="B317" s="4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4.25" customHeight="1">
      <c r="A318" s="15"/>
      <c r="B318" s="4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4.25" customHeight="1">
      <c r="A319" s="15"/>
      <c r="B319" s="4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4.25" customHeight="1">
      <c r="A320" s="15"/>
      <c r="B320" s="4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4.25" customHeight="1">
      <c r="A321" s="15"/>
      <c r="B321" s="4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4.25" customHeight="1">
      <c r="A322" s="15"/>
      <c r="B322" s="4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4.25" customHeight="1">
      <c r="A323" s="15"/>
      <c r="B323" s="4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4.25" customHeight="1">
      <c r="A324" s="15"/>
      <c r="B324" s="4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4.25" customHeight="1">
      <c r="A325" s="15"/>
      <c r="B325" s="4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4.25" customHeight="1">
      <c r="A326" s="15"/>
      <c r="B326" s="4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4.25" customHeight="1">
      <c r="A327" s="15"/>
      <c r="B327" s="4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4.25" customHeight="1">
      <c r="A328" s="15"/>
      <c r="B328" s="4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4.25" customHeight="1">
      <c r="A329" s="15"/>
      <c r="B329" s="4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4.25" customHeight="1">
      <c r="A330" s="15"/>
      <c r="B330" s="4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4.25" customHeight="1">
      <c r="A331" s="15"/>
      <c r="B331" s="4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4.25" customHeight="1">
      <c r="A332" s="15"/>
      <c r="B332" s="4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4.25" customHeight="1">
      <c r="A333" s="15"/>
      <c r="B333" s="4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4.25" customHeight="1">
      <c r="A334" s="15"/>
      <c r="B334" s="4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4.25" customHeight="1">
      <c r="A335" s="15"/>
      <c r="B335" s="4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4.25" customHeight="1">
      <c r="A336" s="15"/>
      <c r="B336" s="4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4.25" customHeight="1">
      <c r="A337" s="15"/>
      <c r="B337" s="4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4.25" customHeight="1">
      <c r="A338" s="15"/>
      <c r="B338" s="4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4.25" customHeight="1">
      <c r="A339" s="15"/>
      <c r="B339" s="4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4.25" customHeight="1">
      <c r="A340" s="15"/>
      <c r="B340" s="4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4.25" customHeight="1">
      <c r="A341" s="15"/>
      <c r="B341" s="4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4.25" customHeight="1">
      <c r="A342" s="15"/>
      <c r="B342" s="4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4.25" customHeight="1">
      <c r="A343" s="15"/>
      <c r="B343" s="4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4.25" customHeight="1">
      <c r="A344" s="15"/>
      <c r="B344" s="4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4.25" customHeight="1">
      <c r="A345" s="15"/>
      <c r="B345" s="4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4.25" customHeight="1">
      <c r="A346" s="15"/>
      <c r="B346" s="4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4.25" customHeight="1">
      <c r="A347" s="15"/>
      <c r="B347" s="4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4.25" customHeight="1">
      <c r="A348" s="15"/>
      <c r="B348" s="4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4.25" customHeight="1">
      <c r="A349" s="15"/>
      <c r="B349" s="4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4.25" customHeight="1">
      <c r="A350" s="15"/>
      <c r="B350" s="4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4.25" customHeight="1">
      <c r="A351" s="15"/>
      <c r="B351" s="4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4.25" customHeight="1">
      <c r="A352" s="15"/>
      <c r="B352" s="4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4.25" customHeight="1">
      <c r="A353" s="15"/>
      <c r="B353" s="4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4.25" customHeight="1">
      <c r="A354" s="15"/>
      <c r="B354" s="4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4.25" customHeight="1">
      <c r="A355" s="15"/>
      <c r="B355" s="4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4.25" customHeight="1">
      <c r="A356" s="15"/>
      <c r="B356" s="4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4.25" customHeight="1">
      <c r="A357" s="15"/>
      <c r="B357" s="4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4.25" customHeight="1">
      <c r="A358" s="15"/>
      <c r="B358" s="4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4.25" customHeight="1">
      <c r="A359" s="15"/>
      <c r="B359" s="4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4.25" customHeight="1">
      <c r="A360" s="15"/>
      <c r="B360" s="4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4.25" customHeight="1">
      <c r="A361" s="15"/>
      <c r="B361" s="4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4.25" customHeight="1">
      <c r="A362" s="15"/>
      <c r="B362" s="4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4.25" customHeight="1">
      <c r="A363" s="15"/>
      <c r="B363" s="4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4.25" customHeight="1">
      <c r="A364" s="15"/>
      <c r="B364" s="4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4.25" customHeight="1">
      <c r="A365" s="15"/>
      <c r="B365" s="4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4.25" customHeight="1">
      <c r="A366" s="15"/>
      <c r="B366" s="4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4.25" customHeight="1">
      <c r="A367" s="15"/>
      <c r="B367" s="4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4.25" customHeight="1">
      <c r="A368" s="15"/>
      <c r="B368" s="4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4.25" customHeight="1">
      <c r="A369" s="15"/>
      <c r="B369" s="4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4.25" customHeight="1">
      <c r="A370" s="15"/>
      <c r="B370" s="4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4.25" customHeight="1">
      <c r="A371" s="15"/>
      <c r="B371" s="4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4.25" customHeight="1">
      <c r="A372" s="15"/>
      <c r="B372" s="4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4.25" customHeight="1">
      <c r="A373" s="15"/>
      <c r="B373" s="4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4.25" customHeight="1">
      <c r="A374" s="15"/>
      <c r="B374" s="4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4.25" customHeight="1">
      <c r="A375" s="15"/>
      <c r="B375" s="4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4.25" customHeight="1">
      <c r="A376" s="15"/>
      <c r="B376" s="4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4.25" customHeight="1">
      <c r="A377" s="15"/>
      <c r="B377" s="4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4.25" customHeight="1">
      <c r="A378" s="15"/>
      <c r="B378" s="4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4.25" customHeight="1">
      <c r="A379" s="15"/>
      <c r="B379" s="4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4.25" customHeight="1">
      <c r="A380" s="15"/>
      <c r="B380" s="4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4.25" customHeight="1">
      <c r="A381" s="15"/>
      <c r="B381" s="4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4.25" customHeight="1">
      <c r="A382" s="15"/>
      <c r="B382" s="4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4.25" customHeight="1">
      <c r="A383" s="15"/>
      <c r="B383" s="4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4.25" customHeight="1">
      <c r="A384" s="15"/>
      <c r="B384" s="4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4.25" customHeight="1">
      <c r="A385" s="15"/>
      <c r="B385" s="4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4.25" customHeight="1">
      <c r="A386" s="15"/>
      <c r="B386" s="4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4.25" customHeight="1">
      <c r="A387" s="15"/>
      <c r="B387" s="4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4.25" customHeight="1">
      <c r="A388" s="15"/>
      <c r="B388" s="4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4.25" customHeight="1">
      <c r="A389" s="15"/>
      <c r="B389" s="4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4.25" customHeight="1">
      <c r="A390" s="15"/>
      <c r="B390" s="4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4.25" customHeight="1">
      <c r="A391" s="15"/>
      <c r="B391" s="4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4.25" customHeight="1">
      <c r="A392" s="15"/>
      <c r="B392" s="4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4.25" customHeight="1">
      <c r="A393" s="15"/>
      <c r="B393" s="4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4.25" customHeight="1">
      <c r="A394" s="15"/>
      <c r="B394" s="4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4.25" customHeight="1">
      <c r="A395" s="15"/>
      <c r="B395" s="4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4.25" customHeight="1">
      <c r="A396" s="15"/>
      <c r="B396" s="4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4.25" customHeight="1">
      <c r="A397" s="15"/>
      <c r="B397" s="4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4.25" customHeight="1">
      <c r="A398" s="15"/>
      <c r="B398" s="4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4.25" customHeight="1">
      <c r="A399" s="15"/>
      <c r="B399" s="4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4.25" customHeight="1">
      <c r="A400" s="15"/>
      <c r="B400" s="4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4.25" customHeight="1">
      <c r="A401" s="15"/>
      <c r="B401" s="4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4.25" customHeight="1">
      <c r="A402" s="15"/>
      <c r="B402" s="4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4.25" customHeight="1">
      <c r="A403" s="15"/>
      <c r="B403" s="4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4.25" customHeight="1">
      <c r="A404" s="15"/>
      <c r="B404" s="4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4.25" customHeight="1">
      <c r="A405" s="15"/>
      <c r="B405" s="4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4.25" customHeight="1">
      <c r="A406" s="15"/>
      <c r="B406" s="4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4.25" customHeight="1">
      <c r="A407" s="15"/>
      <c r="B407" s="4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4.25" customHeight="1">
      <c r="A408" s="15"/>
      <c r="B408" s="4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4.25" customHeight="1">
      <c r="A409" s="15"/>
      <c r="B409" s="4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4.25" customHeight="1">
      <c r="A410" s="15"/>
      <c r="B410" s="4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4.25" customHeight="1">
      <c r="A411" s="15"/>
      <c r="B411" s="4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4.25" customHeight="1">
      <c r="A412" s="15"/>
      <c r="B412" s="4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4.25" customHeight="1">
      <c r="A413" s="15"/>
      <c r="B413" s="4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4.25" customHeight="1">
      <c r="A414" s="15"/>
      <c r="B414" s="4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4.25" customHeight="1">
      <c r="A415" s="15"/>
      <c r="B415" s="4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4.25" customHeight="1">
      <c r="A416" s="15"/>
      <c r="B416" s="4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4.25" customHeight="1">
      <c r="A417" s="15"/>
      <c r="B417" s="4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4.25" customHeight="1">
      <c r="A418" s="15"/>
      <c r="B418" s="4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4.25" customHeight="1">
      <c r="A419" s="15"/>
      <c r="B419" s="4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4.25" customHeight="1">
      <c r="A420" s="15"/>
      <c r="B420" s="4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4.25" customHeight="1">
      <c r="A421" s="15"/>
      <c r="B421" s="4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4.25" customHeight="1">
      <c r="A422" s="15"/>
      <c r="B422" s="4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4.25" customHeight="1">
      <c r="A423" s="15"/>
      <c r="B423" s="4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4.25" customHeight="1">
      <c r="A424" s="15"/>
      <c r="B424" s="4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4.25" customHeight="1">
      <c r="A425" s="15"/>
      <c r="B425" s="4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4.25" customHeight="1">
      <c r="A426" s="15"/>
      <c r="B426" s="4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4.25" customHeight="1">
      <c r="A427" s="15"/>
      <c r="B427" s="4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4.25" customHeight="1">
      <c r="A428" s="15"/>
      <c r="B428" s="4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4.25" customHeight="1">
      <c r="A429" s="15"/>
      <c r="B429" s="4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4.25" customHeight="1">
      <c r="A430" s="15"/>
      <c r="B430" s="4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4.25" customHeight="1">
      <c r="A431" s="15"/>
      <c r="B431" s="4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4.25" customHeight="1">
      <c r="A432" s="15"/>
      <c r="B432" s="4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4.25" customHeight="1">
      <c r="A433" s="15"/>
      <c r="B433" s="4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4.25" customHeight="1">
      <c r="A434" s="15"/>
      <c r="B434" s="4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4.25" customHeight="1">
      <c r="A435" s="15"/>
      <c r="B435" s="4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4.25" customHeight="1">
      <c r="A436" s="15"/>
      <c r="B436" s="4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4.25" customHeight="1">
      <c r="A437" s="15"/>
      <c r="B437" s="4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4.25" customHeight="1">
      <c r="A438" s="15"/>
      <c r="B438" s="4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4.25" customHeight="1">
      <c r="A439" s="15"/>
      <c r="B439" s="4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4.25" customHeight="1">
      <c r="A440" s="15"/>
      <c r="B440" s="4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4.25" customHeight="1">
      <c r="A441" s="15"/>
      <c r="B441" s="4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4.25" customHeight="1">
      <c r="A442" s="15"/>
      <c r="B442" s="4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4.25" customHeight="1">
      <c r="A443" s="15"/>
      <c r="B443" s="4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4.25" customHeight="1">
      <c r="A444" s="15"/>
      <c r="B444" s="4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4.25" customHeight="1">
      <c r="A445" s="15"/>
      <c r="B445" s="4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4.25" customHeight="1">
      <c r="A446" s="15"/>
      <c r="B446" s="4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4.25" customHeight="1">
      <c r="A447" s="15"/>
      <c r="B447" s="4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4.25" customHeight="1">
      <c r="A448" s="15"/>
      <c r="B448" s="4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4.25" customHeight="1">
      <c r="A449" s="15"/>
      <c r="B449" s="4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4.25" customHeight="1">
      <c r="A450" s="15"/>
      <c r="B450" s="4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4.25" customHeight="1">
      <c r="A451" s="15"/>
      <c r="B451" s="4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4.25" customHeight="1">
      <c r="A452" s="15"/>
      <c r="B452" s="4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4.25" customHeight="1">
      <c r="A453" s="15"/>
      <c r="B453" s="4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4.25" customHeight="1">
      <c r="A454" s="15"/>
      <c r="B454" s="4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4.25" customHeight="1">
      <c r="A455" s="15"/>
      <c r="B455" s="4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4.25" customHeight="1">
      <c r="A456" s="15"/>
      <c r="B456" s="4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4.25" customHeight="1">
      <c r="A457" s="15"/>
      <c r="B457" s="4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4.25" customHeight="1">
      <c r="A458" s="15"/>
      <c r="B458" s="4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4.25" customHeight="1">
      <c r="A459" s="15"/>
      <c r="B459" s="4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4.25" customHeight="1">
      <c r="A460" s="15"/>
      <c r="B460" s="4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4.25" customHeight="1">
      <c r="A461" s="15"/>
      <c r="B461" s="4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4.25" customHeight="1">
      <c r="A462" s="15"/>
      <c r="B462" s="4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4.25" customHeight="1">
      <c r="A463" s="15"/>
      <c r="B463" s="4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4.25" customHeight="1">
      <c r="A464" s="15"/>
      <c r="B464" s="4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4.25" customHeight="1">
      <c r="A465" s="15"/>
      <c r="B465" s="4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4.25" customHeight="1">
      <c r="A466" s="15"/>
      <c r="B466" s="4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4.25" customHeight="1">
      <c r="A467" s="15"/>
      <c r="B467" s="4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4.25" customHeight="1">
      <c r="A468" s="15"/>
      <c r="B468" s="4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4.25" customHeight="1">
      <c r="A469" s="15"/>
      <c r="B469" s="4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4.25" customHeight="1">
      <c r="A470" s="15"/>
      <c r="B470" s="4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4.25" customHeight="1">
      <c r="A471" s="15"/>
      <c r="B471" s="4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4.25" customHeight="1">
      <c r="A472" s="15"/>
      <c r="B472" s="4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4.25" customHeight="1">
      <c r="A473" s="15"/>
      <c r="B473" s="4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4.25" customHeight="1">
      <c r="A474" s="15"/>
      <c r="B474" s="4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4.25" customHeight="1">
      <c r="A475" s="15"/>
      <c r="B475" s="4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4.25" customHeight="1">
      <c r="A476" s="15"/>
      <c r="B476" s="4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4.25" customHeight="1">
      <c r="A477" s="15"/>
      <c r="B477" s="4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4.25" customHeight="1">
      <c r="A478" s="15"/>
      <c r="B478" s="4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4.25" customHeight="1">
      <c r="A479" s="15"/>
      <c r="B479" s="4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4.25" customHeight="1">
      <c r="A480" s="15"/>
      <c r="B480" s="4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4.25" customHeight="1">
      <c r="A481" s="15"/>
      <c r="B481" s="4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4.25" customHeight="1">
      <c r="A482" s="15"/>
      <c r="B482" s="4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4.25" customHeight="1">
      <c r="A483" s="15"/>
      <c r="B483" s="4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4.25" customHeight="1">
      <c r="A484" s="15"/>
      <c r="B484" s="4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4.25" customHeight="1">
      <c r="A485" s="15"/>
      <c r="B485" s="4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4.25" customHeight="1">
      <c r="A486" s="15"/>
      <c r="B486" s="4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4.25" customHeight="1">
      <c r="A487" s="15"/>
      <c r="B487" s="4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4.25" customHeight="1">
      <c r="A488" s="15"/>
      <c r="B488" s="4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4.25" customHeight="1">
      <c r="A489" s="15"/>
      <c r="B489" s="4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4.25" customHeight="1">
      <c r="A490" s="15"/>
      <c r="B490" s="4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4.25" customHeight="1">
      <c r="A491" s="15"/>
      <c r="B491" s="4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4.25" customHeight="1">
      <c r="A492" s="15"/>
      <c r="B492" s="4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4.25" customHeight="1">
      <c r="A493" s="15"/>
      <c r="B493" s="4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4.25" customHeight="1">
      <c r="A494" s="15"/>
      <c r="B494" s="4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4.25" customHeight="1">
      <c r="A495" s="15"/>
      <c r="B495" s="4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4.25" customHeight="1">
      <c r="A496" s="15"/>
      <c r="B496" s="4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4.25" customHeight="1">
      <c r="A497" s="15"/>
      <c r="B497" s="4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4.25" customHeight="1">
      <c r="A498" s="15"/>
      <c r="B498" s="4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4.25" customHeight="1">
      <c r="A499" s="15"/>
      <c r="B499" s="4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4.25" customHeight="1">
      <c r="A500" s="15"/>
      <c r="B500" s="4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4.25" customHeight="1">
      <c r="A501" s="15"/>
      <c r="B501" s="4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4.25" customHeight="1">
      <c r="A502" s="15"/>
      <c r="B502" s="4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4.25" customHeight="1">
      <c r="A503" s="15"/>
      <c r="B503" s="4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4.25" customHeight="1">
      <c r="A504" s="15"/>
      <c r="B504" s="4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4.25" customHeight="1">
      <c r="A505" s="15"/>
      <c r="B505" s="4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4.25" customHeight="1">
      <c r="A506" s="15"/>
      <c r="B506" s="4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4.25" customHeight="1">
      <c r="A507" s="15"/>
      <c r="B507" s="4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4.25" customHeight="1">
      <c r="A508" s="15"/>
      <c r="B508" s="4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4.25" customHeight="1">
      <c r="A509" s="15"/>
      <c r="B509" s="4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4.25" customHeight="1">
      <c r="A510" s="15"/>
      <c r="B510" s="4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4.25" customHeight="1">
      <c r="A511" s="15"/>
      <c r="B511" s="4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4.25" customHeight="1">
      <c r="A512" s="15"/>
      <c r="B512" s="4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4.25" customHeight="1">
      <c r="A513" s="15"/>
      <c r="B513" s="4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4.25" customHeight="1">
      <c r="A514" s="15"/>
      <c r="B514" s="4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4.25" customHeight="1">
      <c r="A515" s="15"/>
      <c r="B515" s="4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4.25" customHeight="1">
      <c r="A516" s="15"/>
      <c r="B516" s="4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4.25" customHeight="1">
      <c r="A517" s="15"/>
      <c r="B517" s="4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4.25" customHeight="1">
      <c r="A518" s="15"/>
      <c r="B518" s="4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4.25" customHeight="1">
      <c r="A519" s="15"/>
      <c r="B519" s="4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4.25" customHeight="1">
      <c r="A520" s="15"/>
      <c r="B520" s="4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4.25" customHeight="1">
      <c r="A521" s="15"/>
      <c r="B521" s="4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4.25" customHeight="1">
      <c r="A522" s="15"/>
      <c r="B522" s="4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4.25" customHeight="1">
      <c r="A523" s="15"/>
      <c r="B523" s="4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4.25" customHeight="1">
      <c r="A524" s="15"/>
      <c r="B524" s="4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4.25" customHeight="1">
      <c r="A525" s="15"/>
      <c r="B525" s="4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4.25" customHeight="1">
      <c r="A526" s="15"/>
      <c r="B526" s="4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4.25" customHeight="1">
      <c r="A527" s="15"/>
      <c r="B527" s="4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4.25" customHeight="1">
      <c r="A528" s="15"/>
      <c r="B528" s="4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4.25" customHeight="1">
      <c r="A529" s="15"/>
      <c r="B529" s="4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4.25" customHeight="1">
      <c r="A530" s="15"/>
      <c r="B530" s="4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4.25" customHeight="1">
      <c r="A531" s="15"/>
      <c r="B531" s="4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4.25" customHeight="1">
      <c r="A532" s="15"/>
      <c r="B532" s="4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4.25" customHeight="1">
      <c r="A533" s="15"/>
      <c r="B533" s="4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4.25" customHeight="1">
      <c r="A534" s="15"/>
      <c r="B534" s="4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4.25" customHeight="1">
      <c r="A535" s="15"/>
      <c r="B535" s="4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4.25" customHeight="1">
      <c r="A536" s="15"/>
      <c r="B536" s="4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4.25" customHeight="1">
      <c r="A537" s="15"/>
      <c r="B537" s="4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4.25" customHeight="1">
      <c r="A538" s="15"/>
      <c r="B538" s="4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4.25" customHeight="1">
      <c r="A539" s="15"/>
      <c r="B539" s="4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4.25" customHeight="1">
      <c r="A540" s="15"/>
      <c r="B540" s="4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4.25" customHeight="1">
      <c r="A541" s="15"/>
      <c r="B541" s="4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4.25" customHeight="1">
      <c r="A542" s="15"/>
      <c r="B542" s="4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4.25" customHeight="1">
      <c r="A543" s="15"/>
      <c r="B543" s="4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4.25" customHeight="1">
      <c r="A544" s="15"/>
      <c r="B544" s="4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4.25" customHeight="1">
      <c r="A545" s="15"/>
      <c r="B545" s="4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4.25" customHeight="1">
      <c r="A546" s="15"/>
      <c r="B546" s="4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4.25" customHeight="1">
      <c r="A547" s="15"/>
      <c r="B547" s="4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4.25" customHeight="1">
      <c r="A548" s="15"/>
      <c r="B548" s="4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4.25" customHeight="1">
      <c r="A549" s="15"/>
      <c r="B549" s="4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4.25" customHeight="1">
      <c r="A550" s="15"/>
      <c r="B550" s="4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4.25" customHeight="1">
      <c r="A551" s="15"/>
      <c r="B551" s="4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4.25" customHeight="1">
      <c r="A552" s="15"/>
      <c r="B552" s="4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4.25" customHeight="1">
      <c r="A553" s="15"/>
      <c r="B553" s="4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4.25" customHeight="1">
      <c r="A554" s="15"/>
      <c r="B554" s="4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4.25" customHeight="1">
      <c r="A555" s="15"/>
      <c r="B555" s="4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4.25" customHeight="1">
      <c r="A556" s="15"/>
      <c r="B556" s="4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4.25" customHeight="1">
      <c r="A557" s="15"/>
      <c r="B557" s="4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4.25" customHeight="1">
      <c r="A558" s="15"/>
      <c r="B558" s="4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4.25" customHeight="1">
      <c r="A559" s="15"/>
      <c r="B559" s="4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4.25" customHeight="1">
      <c r="A560" s="15"/>
      <c r="B560" s="4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4.25" customHeight="1">
      <c r="A561" s="15"/>
      <c r="B561" s="4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4.25" customHeight="1">
      <c r="A562" s="15"/>
      <c r="B562" s="4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4.25" customHeight="1">
      <c r="A563" s="15"/>
      <c r="B563" s="4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4.25" customHeight="1">
      <c r="A564" s="15"/>
      <c r="B564" s="4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4.25" customHeight="1">
      <c r="A565" s="15"/>
      <c r="B565" s="4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4.25" customHeight="1">
      <c r="A566" s="15"/>
      <c r="B566" s="4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4.25" customHeight="1">
      <c r="A567" s="15"/>
      <c r="B567" s="4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4.25" customHeight="1">
      <c r="A568" s="15"/>
      <c r="B568" s="4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4.25" customHeight="1">
      <c r="A569" s="15"/>
      <c r="B569" s="4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4.25" customHeight="1">
      <c r="A570" s="15"/>
      <c r="B570" s="4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4.25" customHeight="1">
      <c r="A571" s="15"/>
      <c r="B571" s="4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4.25" customHeight="1">
      <c r="A572" s="15"/>
      <c r="B572" s="4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4.25" customHeight="1">
      <c r="A573" s="15"/>
      <c r="B573" s="4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4.25" customHeight="1">
      <c r="A574" s="15"/>
      <c r="B574" s="4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4.25" customHeight="1">
      <c r="A575" s="15"/>
      <c r="B575" s="4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4.25" customHeight="1">
      <c r="A576" s="15"/>
      <c r="B576" s="4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4.25" customHeight="1">
      <c r="A577" s="15"/>
      <c r="B577" s="4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4.25" customHeight="1">
      <c r="A578" s="15"/>
      <c r="B578" s="4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4.25" customHeight="1">
      <c r="A579" s="15"/>
      <c r="B579" s="4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4.25" customHeight="1">
      <c r="A580" s="15"/>
      <c r="B580" s="4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4.25" customHeight="1">
      <c r="A581" s="15"/>
      <c r="B581" s="4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4.25" customHeight="1">
      <c r="A582" s="15"/>
      <c r="B582" s="4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4.25" customHeight="1">
      <c r="A583" s="15"/>
      <c r="B583" s="4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4.25" customHeight="1">
      <c r="A584" s="15"/>
      <c r="B584" s="4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4.25" customHeight="1">
      <c r="A585" s="15"/>
      <c r="B585" s="4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4.25" customHeight="1">
      <c r="A586" s="15"/>
      <c r="B586" s="4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4.25" customHeight="1">
      <c r="A587" s="15"/>
      <c r="B587" s="4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4.25" customHeight="1">
      <c r="A588" s="15"/>
      <c r="B588" s="4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4.25" customHeight="1">
      <c r="A589" s="15"/>
      <c r="B589" s="4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4.25" customHeight="1">
      <c r="A590" s="15"/>
      <c r="B590" s="4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4.25" customHeight="1">
      <c r="A591" s="15"/>
      <c r="B591" s="4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4.25" customHeight="1">
      <c r="A592" s="15"/>
      <c r="B592" s="4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4.25" customHeight="1">
      <c r="A593" s="15"/>
      <c r="B593" s="4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4.25" customHeight="1">
      <c r="A594" s="15"/>
      <c r="B594" s="4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4.25" customHeight="1">
      <c r="A595" s="15"/>
      <c r="B595" s="4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4.25" customHeight="1">
      <c r="A596" s="15"/>
      <c r="B596" s="4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4.25" customHeight="1">
      <c r="A597" s="15"/>
      <c r="B597" s="4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4.25" customHeight="1">
      <c r="A598" s="15"/>
      <c r="B598" s="4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4.25" customHeight="1">
      <c r="A599" s="15"/>
      <c r="B599" s="4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4.25" customHeight="1">
      <c r="A600" s="15"/>
      <c r="B600" s="4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4.25" customHeight="1">
      <c r="A601" s="15"/>
      <c r="B601" s="4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4.25" customHeight="1">
      <c r="A602" s="15"/>
      <c r="B602" s="4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4.25" customHeight="1">
      <c r="A603" s="15"/>
      <c r="B603" s="4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4.25" customHeight="1">
      <c r="A604" s="15"/>
      <c r="B604" s="4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4.25" customHeight="1">
      <c r="A605" s="15"/>
      <c r="B605" s="4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4.25" customHeight="1">
      <c r="A606" s="15"/>
      <c r="B606" s="4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4.25" customHeight="1">
      <c r="A607" s="15"/>
      <c r="B607" s="4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4.25" customHeight="1">
      <c r="A608" s="15"/>
      <c r="B608" s="4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4.25" customHeight="1">
      <c r="A609" s="15"/>
      <c r="B609" s="4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4.25" customHeight="1">
      <c r="A610" s="15"/>
      <c r="B610" s="4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4.25" customHeight="1">
      <c r="A611" s="15"/>
      <c r="B611" s="4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4.25" customHeight="1">
      <c r="A612" s="15"/>
      <c r="B612" s="4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4.25" customHeight="1">
      <c r="A613" s="15"/>
      <c r="B613" s="4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4.25" customHeight="1">
      <c r="A614" s="15"/>
      <c r="B614" s="4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4.25" customHeight="1">
      <c r="A615" s="15"/>
      <c r="B615" s="4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4.25" customHeight="1">
      <c r="A616" s="15"/>
      <c r="B616" s="4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4.25" customHeight="1">
      <c r="A617" s="15"/>
      <c r="B617" s="4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4.25" customHeight="1">
      <c r="A618" s="15"/>
      <c r="B618" s="4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4.25" customHeight="1">
      <c r="A619" s="15"/>
      <c r="B619" s="4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4.25" customHeight="1">
      <c r="A620" s="15"/>
      <c r="B620" s="4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4.25" customHeight="1">
      <c r="A621" s="15"/>
      <c r="B621" s="4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4.25" customHeight="1">
      <c r="A622" s="15"/>
      <c r="B622" s="4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4.25" customHeight="1">
      <c r="A623" s="15"/>
      <c r="B623" s="4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4.25" customHeight="1">
      <c r="A624" s="15"/>
      <c r="B624" s="4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4.25" customHeight="1">
      <c r="A625" s="15"/>
      <c r="B625" s="4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4.25" customHeight="1">
      <c r="A626" s="15"/>
      <c r="B626" s="4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4.25" customHeight="1">
      <c r="A627" s="15"/>
      <c r="B627" s="4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4.25" customHeight="1">
      <c r="A628" s="15"/>
      <c r="B628" s="4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4.25" customHeight="1">
      <c r="A629" s="15"/>
      <c r="B629" s="4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4.25" customHeight="1">
      <c r="A630" s="15"/>
      <c r="B630" s="4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4.25" customHeight="1">
      <c r="A631" s="15"/>
      <c r="B631" s="4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4.25" customHeight="1">
      <c r="A632" s="15"/>
      <c r="B632" s="4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4.25" customHeight="1">
      <c r="A633" s="15"/>
      <c r="B633" s="4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4.25" customHeight="1">
      <c r="A634" s="15"/>
      <c r="B634" s="4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4.25" customHeight="1">
      <c r="A635" s="15"/>
      <c r="B635" s="4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4.25" customHeight="1">
      <c r="A636" s="15"/>
      <c r="B636" s="4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4.25" customHeight="1">
      <c r="A637" s="15"/>
      <c r="B637" s="4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4.25" customHeight="1">
      <c r="A638" s="15"/>
      <c r="B638" s="4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4.25" customHeight="1">
      <c r="A639" s="15"/>
      <c r="B639" s="4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4.25" customHeight="1">
      <c r="A640" s="15"/>
      <c r="B640" s="4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4.25" customHeight="1">
      <c r="A641" s="15"/>
      <c r="B641" s="4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4.25" customHeight="1">
      <c r="A642" s="15"/>
      <c r="B642" s="4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4.25" customHeight="1">
      <c r="A643" s="15"/>
      <c r="B643" s="4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4.25" customHeight="1">
      <c r="A644" s="15"/>
      <c r="B644" s="4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4.25" customHeight="1">
      <c r="A645" s="15"/>
      <c r="B645" s="4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4.25" customHeight="1">
      <c r="A646" s="15"/>
      <c r="B646" s="4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4.25" customHeight="1">
      <c r="A647" s="15"/>
      <c r="B647" s="4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4.25" customHeight="1">
      <c r="A648" s="15"/>
      <c r="B648" s="4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4.25" customHeight="1">
      <c r="A649" s="15"/>
      <c r="B649" s="4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4.25" customHeight="1">
      <c r="A650" s="15"/>
      <c r="B650" s="4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4.25" customHeight="1">
      <c r="A651" s="15"/>
      <c r="B651" s="4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4.25" customHeight="1">
      <c r="A652" s="15"/>
      <c r="B652" s="4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4.25" customHeight="1">
      <c r="A653" s="15"/>
      <c r="B653" s="4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4.25" customHeight="1">
      <c r="A654" s="15"/>
      <c r="B654" s="4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4.25" customHeight="1">
      <c r="A655" s="15"/>
      <c r="B655" s="4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4.25" customHeight="1">
      <c r="A656" s="15"/>
      <c r="B656" s="4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4.25" customHeight="1">
      <c r="A657" s="15"/>
      <c r="B657" s="4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4.25" customHeight="1">
      <c r="A658" s="15"/>
      <c r="B658" s="4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4.25" customHeight="1">
      <c r="A659" s="15"/>
      <c r="B659" s="4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4.25" customHeight="1">
      <c r="A660" s="15"/>
      <c r="B660" s="4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4.25" customHeight="1">
      <c r="A661" s="15"/>
      <c r="B661" s="4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4.25" customHeight="1">
      <c r="A662" s="15"/>
      <c r="B662" s="4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4.25" customHeight="1">
      <c r="A663" s="15"/>
      <c r="B663" s="4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4.25" customHeight="1">
      <c r="A664" s="15"/>
      <c r="B664" s="4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4.25" customHeight="1">
      <c r="A665" s="15"/>
      <c r="B665" s="4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4.25" customHeight="1">
      <c r="A666" s="15"/>
      <c r="B666" s="4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4.25" customHeight="1">
      <c r="A667" s="15"/>
      <c r="B667" s="4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4.25" customHeight="1">
      <c r="A668" s="15"/>
      <c r="B668" s="4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4.25" customHeight="1">
      <c r="A669" s="15"/>
      <c r="B669" s="4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4.25" customHeight="1">
      <c r="A670" s="15"/>
      <c r="B670" s="4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4.25" customHeight="1">
      <c r="A671" s="15"/>
      <c r="B671" s="4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4.25" customHeight="1">
      <c r="A672" s="15"/>
      <c r="B672" s="4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4.25" customHeight="1">
      <c r="A673" s="15"/>
      <c r="B673" s="4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4.25" customHeight="1">
      <c r="A674" s="15"/>
      <c r="B674" s="4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4.25" customHeight="1">
      <c r="A675" s="15"/>
      <c r="B675" s="4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4.25" customHeight="1">
      <c r="A676" s="15"/>
      <c r="B676" s="4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4.25" customHeight="1">
      <c r="A677" s="15"/>
      <c r="B677" s="4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4.25" customHeight="1">
      <c r="A678" s="15"/>
      <c r="B678" s="4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4.25" customHeight="1">
      <c r="A679" s="15"/>
      <c r="B679" s="4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4.25" customHeight="1">
      <c r="A680" s="15"/>
      <c r="B680" s="4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4.25" customHeight="1">
      <c r="A681" s="15"/>
      <c r="B681" s="4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4.25" customHeight="1">
      <c r="A682" s="15"/>
      <c r="B682" s="4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4.25" customHeight="1">
      <c r="A683" s="15"/>
      <c r="B683" s="4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4.25" customHeight="1">
      <c r="A684" s="15"/>
      <c r="B684" s="4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4.25" customHeight="1">
      <c r="A685" s="15"/>
      <c r="B685" s="4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4.25" customHeight="1">
      <c r="A686" s="15"/>
      <c r="B686" s="4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4.25" customHeight="1">
      <c r="A687" s="15"/>
      <c r="B687" s="4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4.25" customHeight="1">
      <c r="A688" s="15"/>
      <c r="B688" s="4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4.25" customHeight="1">
      <c r="A689" s="15"/>
      <c r="B689" s="4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4.25" customHeight="1">
      <c r="A690" s="15"/>
      <c r="B690" s="4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4.25" customHeight="1">
      <c r="A691" s="15"/>
      <c r="B691" s="4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4.25" customHeight="1">
      <c r="A692" s="15"/>
      <c r="B692" s="4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4.25" customHeight="1">
      <c r="A693" s="15"/>
      <c r="B693" s="4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4.25" customHeight="1">
      <c r="A694" s="15"/>
      <c r="B694" s="4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4.25" customHeight="1">
      <c r="A695" s="15"/>
      <c r="B695" s="4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4.25" customHeight="1">
      <c r="A696" s="15"/>
      <c r="B696" s="4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4.25" customHeight="1">
      <c r="A697" s="15"/>
      <c r="B697" s="4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4.25" customHeight="1">
      <c r="A698" s="15"/>
      <c r="B698" s="4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4.25" customHeight="1">
      <c r="A699" s="15"/>
      <c r="B699" s="4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4.25" customHeight="1">
      <c r="A700" s="15"/>
      <c r="B700" s="4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4.25" customHeight="1">
      <c r="A701" s="15"/>
      <c r="B701" s="4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4.25" customHeight="1">
      <c r="A702" s="15"/>
      <c r="B702" s="4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4.25" customHeight="1">
      <c r="A703" s="15"/>
      <c r="B703" s="4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4.25" customHeight="1">
      <c r="A704" s="15"/>
      <c r="B704" s="4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4.25" customHeight="1">
      <c r="A705" s="15"/>
      <c r="B705" s="4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4.25" customHeight="1">
      <c r="A706" s="15"/>
      <c r="B706" s="4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4.25" customHeight="1">
      <c r="A707" s="15"/>
      <c r="B707" s="4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4.25" customHeight="1">
      <c r="A708" s="15"/>
      <c r="B708" s="4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4.25" customHeight="1">
      <c r="A709" s="15"/>
      <c r="B709" s="4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4.25" customHeight="1">
      <c r="A710" s="15"/>
      <c r="B710" s="4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4.25" customHeight="1">
      <c r="A711" s="15"/>
      <c r="B711" s="4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4.25" customHeight="1">
      <c r="A712" s="15"/>
      <c r="B712" s="4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4.25" customHeight="1">
      <c r="A713" s="15"/>
      <c r="B713" s="4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4.25" customHeight="1">
      <c r="A714" s="15"/>
      <c r="B714" s="4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4.25" customHeight="1">
      <c r="A715" s="15"/>
      <c r="B715" s="4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4.25" customHeight="1">
      <c r="A716" s="15"/>
      <c r="B716" s="4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4.25" customHeight="1">
      <c r="A717" s="15"/>
      <c r="B717" s="4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4.25" customHeight="1">
      <c r="A718" s="15"/>
      <c r="B718" s="4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4.25" customHeight="1">
      <c r="A719" s="15"/>
      <c r="B719" s="4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4.25" customHeight="1">
      <c r="A720" s="15"/>
      <c r="B720" s="4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4.25" customHeight="1">
      <c r="A721" s="15"/>
      <c r="B721" s="4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4.25" customHeight="1">
      <c r="A722" s="15"/>
      <c r="B722" s="4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4.25" customHeight="1">
      <c r="A723" s="15"/>
      <c r="B723" s="4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4.25" customHeight="1">
      <c r="A724" s="15"/>
      <c r="B724" s="4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4.25" customHeight="1">
      <c r="A725" s="15"/>
      <c r="B725" s="4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4.25" customHeight="1">
      <c r="A726" s="15"/>
      <c r="B726" s="4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4.25" customHeight="1">
      <c r="A727" s="15"/>
      <c r="B727" s="4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4.25" customHeight="1">
      <c r="A728" s="15"/>
      <c r="B728" s="4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4.25" customHeight="1">
      <c r="A729" s="15"/>
      <c r="B729" s="4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4.25" customHeight="1">
      <c r="A730" s="15"/>
      <c r="B730" s="4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4.25" customHeight="1">
      <c r="A731" s="15"/>
      <c r="B731" s="4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4.25" customHeight="1">
      <c r="A732" s="15"/>
      <c r="B732" s="4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4.25" customHeight="1">
      <c r="A733" s="15"/>
      <c r="B733" s="4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4.25" customHeight="1">
      <c r="A734" s="15"/>
      <c r="B734" s="4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4.25" customHeight="1">
      <c r="A735" s="15"/>
      <c r="B735" s="4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4.25" customHeight="1">
      <c r="A736" s="15"/>
      <c r="B736" s="4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4.25" customHeight="1">
      <c r="A737" s="15"/>
      <c r="B737" s="4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4.25" customHeight="1">
      <c r="A738" s="15"/>
      <c r="B738" s="4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4.25" customHeight="1">
      <c r="A739" s="15"/>
      <c r="B739" s="4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4.25" customHeight="1">
      <c r="A740" s="15"/>
      <c r="B740" s="4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4.25" customHeight="1">
      <c r="A741" s="15"/>
      <c r="B741" s="4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4.25" customHeight="1">
      <c r="A742" s="15"/>
      <c r="B742" s="4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4.25" customHeight="1">
      <c r="A743" s="15"/>
      <c r="B743" s="4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4.25" customHeight="1">
      <c r="A744" s="15"/>
      <c r="B744" s="4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4.25" customHeight="1">
      <c r="A745" s="15"/>
      <c r="B745" s="4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4.25" customHeight="1">
      <c r="A746" s="15"/>
      <c r="B746" s="4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4.25" customHeight="1">
      <c r="A747" s="15"/>
      <c r="B747" s="4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4.25" customHeight="1">
      <c r="A748" s="15"/>
      <c r="B748" s="4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4.25" customHeight="1">
      <c r="A749" s="15"/>
      <c r="B749" s="4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4.25" customHeight="1">
      <c r="A750" s="15"/>
      <c r="B750" s="4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4.25" customHeight="1">
      <c r="A751" s="15"/>
      <c r="B751" s="4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4.25" customHeight="1">
      <c r="A752" s="15"/>
      <c r="B752" s="4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4.25" customHeight="1">
      <c r="A753" s="15"/>
      <c r="B753" s="4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4.25" customHeight="1">
      <c r="A754" s="15"/>
      <c r="B754" s="4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4.25" customHeight="1">
      <c r="A755" s="15"/>
      <c r="B755" s="4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4.25" customHeight="1">
      <c r="A756" s="15"/>
      <c r="B756" s="4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4.25" customHeight="1">
      <c r="A757" s="15"/>
      <c r="B757" s="4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4.25" customHeight="1">
      <c r="A758" s="15"/>
      <c r="B758" s="4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4.25" customHeight="1">
      <c r="A759" s="15"/>
      <c r="B759" s="4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4.25" customHeight="1">
      <c r="A760" s="15"/>
      <c r="B760" s="4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4.25" customHeight="1">
      <c r="A761" s="15"/>
      <c r="B761" s="4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4.25" customHeight="1">
      <c r="A762" s="15"/>
      <c r="B762" s="4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4.25" customHeight="1">
      <c r="A763" s="15"/>
      <c r="B763" s="4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4.25" customHeight="1">
      <c r="A764" s="15"/>
      <c r="B764" s="4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4.25" customHeight="1">
      <c r="A765" s="15"/>
      <c r="B765" s="4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4.25" customHeight="1">
      <c r="A766" s="15"/>
      <c r="B766" s="4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4.25" customHeight="1">
      <c r="A767" s="15"/>
      <c r="B767" s="4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4.25" customHeight="1">
      <c r="A768" s="15"/>
      <c r="B768" s="4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4.25" customHeight="1">
      <c r="A769" s="15"/>
      <c r="B769" s="4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4.25" customHeight="1">
      <c r="A770" s="15"/>
      <c r="B770" s="4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4.25" customHeight="1">
      <c r="A771" s="15"/>
      <c r="B771" s="4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4.25" customHeight="1">
      <c r="A772" s="15"/>
      <c r="B772" s="4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4.25" customHeight="1">
      <c r="A773" s="15"/>
      <c r="B773" s="4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4.25" customHeight="1">
      <c r="A774" s="15"/>
      <c r="B774" s="4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4.25" customHeight="1">
      <c r="A775" s="15"/>
      <c r="B775" s="4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4.25" customHeight="1">
      <c r="A776" s="15"/>
      <c r="B776" s="4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4.25" customHeight="1">
      <c r="A777" s="15"/>
      <c r="B777" s="4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4.25" customHeight="1">
      <c r="A778" s="15"/>
      <c r="B778" s="4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4.25" customHeight="1">
      <c r="A779" s="15"/>
      <c r="B779" s="4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4.25" customHeight="1">
      <c r="A780" s="15"/>
      <c r="B780" s="4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4.25" customHeight="1">
      <c r="A781" s="15"/>
      <c r="B781" s="4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4.25" customHeight="1">
      <c r="A782" s="15"/>
      <c r="B782" s="4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4.25" customHeight="1">
      <c r="A783" s="15"/>
      <c r="B783" s="4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4.25" customHeight="1">
      <c r="A784" s="15"/>
      <c r="B784" s="4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4.25" customHeight="1">
      <c r="A785" s="15"/>
      <c r="B785" s="4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4.25" customHeight="1">
      <c r="A786" s="15"/>
      <c r="B786" s="4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4.25" customHeight="1">
      <c r="A787" s="15"/>
      <c r="B787" s="4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4.25" customHeight="1">
      <c r="A788" s="15"/>
      <c r="B788" s="4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4.25" customHeight="1">
      <c r="A789" s="15"/>
      <c r="B789" s="4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4.25" customHeight="1">
      <c r="A790" s="15"/>
      <c r="B790" s="4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4.25" customHeight="1">
      <c r="A791" s="15"/>
      <c r="B791" s="4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4.25" customHeight="1">
      <c r="A792" s="15"/>
      <c r="B792" s="4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4.25" customHeight="1">
      <c r="A793" s="15"/>
      <c r="B793" s="4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4.25" customHeight="1">
      <c r="A794" s="15"/>
      <c r="B794" s="4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4.25" customHeight="1">
      <c r="A795" s="15"/>
      <c r="B795" s="4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4.25" customHeight="1">
      <c r="A796" s="15"/>
      <c r="B796" s="4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4.25" customHeight="1">
      <c r="A797" s="15"/>
      <c r="B797" s="4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4.25" customHeight="1">
      <c r="A798" s="15"/>
      <c r="B798" s="4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4.25" customHeight="1">
      <c r="A799" s="15"/>
      <c r="B799" s="4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4.25" customHeight="1">
      <c r="A800" s="15"/>
      <c r="B800" s="4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4.25" customHeight="1">
      <c r="A801" s="15"/>
      <c r="B801" s="4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4.25" customHeight="1">
      <c r="A802" s="15"/>
      <c r="B802" s="4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4.25" customHeight="1">
      <c r="A803" s="15"/>
      <c r="B803" s="4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4.25" customHeight="1">
      <c r="A804" s="15"/>
      <c r="B804" s="4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4.25" customHeight="1">
      <c r="A805" s="15"/>
      <c r="B805" s="4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4.25" customHeight="1">
      <c r="A806" s="15"/>
      <c r="B806" s="4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4.25" customHeight="1">
      <c r="A807" s="15"/>
      <c r="B807" s="4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4.25" customHeight="1">
      <c r="A808" s="15"/>
      <c r="B808" s="4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4.25" customHeight="1">
      <c r="A809" s="15"/>
      <c r="B809" s="4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4.25" customHeight="1">
      <c r="A810" s="15"/>
      <c r="B810" s="4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4.25" customHeight="1">
      <c r="A811" s="15"/>
      <c r="B811" s="4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4.25" customHeight="1">
      <c r="A812" s="15"/>
      <c r="B812" s="4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4.25" customHeight="1">
      <c r="A813" s="15"/>
      <c r="B813" s="4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4.25" customHeight="1">
      <c r="A814" s="15"/>
      <c r="B814" s="4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4.25" customHeight="1">
      <c r="A815" s="15"/>
      <c r="B815" s="4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4.25" customHeight="1">
      <c r="A816" s="15"/>
      <c r="B816" s="4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4.25" customHeight="1">
      <c r="A817" s="15"/>
      <c r="B817" s="4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4.25" customHeight="1">
      <c r="A818" s="15"/>
      <c r="B818" s="4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4.25" customHeight="1">
      <c r="A819" s="15"/>
      <c r="B819" s="4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4.25" customHeight="1">
      <c r="A820" s="15"/>
      <c r="B820" s="4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4.25" customHeight="1">
      <c r="A821" s="15"/>
      <c r="B821" s="4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4.25" customHeight="1">
      <c r="A822" s="15"/>
      <c r="B822" s="4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4.25" customHeight="1">
      <c r="A823" s="15"/>
      <c r="B823" s="4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4.25" customHeight="1">
      <c r="A824" s="15"/>
      <c r="B824" s="4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4.25" customHeight="1">
      <c r="A825" s="15"/>
      <c r="B825" s="4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4.25" customHeight="1">
      <c r="A826" s="15"/>
      <c r="B826" s="4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4.25" customHeight="1">
      <c r="A827" s="15"/>
      <c r="B827" s="4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4.25" customHeight="1">
      <c r="A828" s="15"/>
      <c r="B828" s="4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4.25" customHeight="1">
      <c r="A829" s="15"/>
      <c r="B829" s="4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4.25" customHeight="1">
      <c r="A830" s="15"/>
      <c r="B830" s="4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4.25" customHeight="1">
      <c r="A831" s="15"/>
      <c r="B831" s="4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4.25" customHeight="1">
      <c r="A832" s="15"/>
      <c r="B832" s="4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4.25" customHeight="1">
      <c r="A833" s="15"/>
      <c r="B833" s="4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4.25" customHeight="1">
      <c r="A834" s="15"/>
      <c r="B834" s="4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4.25" customHeight="1">
      <c r="A835" s="15"/>
      <c r="B835" s="4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4.25" customHeight="1">
      <c r="A836" s="15"/>
      <c r="B836" s="4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4.25" customHeight="1">
      <c r="A837" s="15"/>
      <c r="B837" s="4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4.25" customHeight="1">
      <c r="A838" s="15"/>
      <c r="B838" s="4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4.25" customHeight="1">
      <c r="A839" s="15"/>
      <c r="B839" s="4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4.25" customHeight="1">
      <c r="A840" s="15"/>
      <c r="B840" s="4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4.25" customHeight="1">
      <c r="A841" s="15"/>
      <c r="B841" s="4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4.25" customHeight="1">
      <c r="A842" s="15"/>
      <c r="B842" s="4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4.25" customHeight="1">
      <c r="A843" s="15"/>
      <c r="B843" s="4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4.25" customHeight="1">
      <c r="A844" s="15"/>
      <c r="B844" s="4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4.25" customHeight="1">
      <c r="A845" s="15"/>
      <c r="B845" s="4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4.25" customHeight="1">
      <c r="A846" s="15"/>
      <c r="B846" s="4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4.25" customHeight="1">
      <c r="A847" s="15"/>
      <c r="B847" s="4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4.25" customHeight="1">
      <c r="A848" s="15"/>
      <c r="B848" s="4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4.25" customHeight="1">
      <c r="A849" s="15"/>
      <c r="B849" s="4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4.25" customHeight="1">
      <c r="A850" s="15"/>
      <c r="B850" s="4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4.25" customHeight="1">
      <c r="A851" s="15"/>
      <c r="B851" s="4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4.25" customHeight="1">
      <c r="A852" s="15"/>
      <c r="B852" s="4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4.25" customHeight="1">
      <c r="A853" s="15"/>
      <c r="B853" s="4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4.25" customHeight="1">
      <c r="A854" s="15"/>
      <c r="B854" s="4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4.25" customHeight="1">
      <c r="A855" s="15"/>
      <c r="B855" s="4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4.25" customHeight="1">
      <c r="A856" s="15"/>
      <c r="B856" s="4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4.25" customHeight="1">
      <c r="A857" s="15"/>
      <c r="B857" s="4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4.25" customHeight="1">
      <c r="A858" s="15"/>
      <c r="B858" s="4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4.25" customHeight="1">
      <c r="A859" s="15"/>
      <c r="B859" s="4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4.25" customHeight="1">
      <c r="A860" s="15"/>
      <c r="B860" s="4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4.25" customHeight="1">
      <c r="A861" s="15"/>
      <c r="B861" s="4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4.25" customHeight="1">
      <c r="A862" s="15"/>
      <c r="B862" s="4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4.25" customHeight="1">
      <c r="A863" s="15"/>
      <c r="B863" s="4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4.25" customHeight="1">
      <c r="A864" s="15"/>
      <c r="B864" s="4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4.25" customHeight="1">
      <c r="A865" s="15"/>
      <c r="B865" s="4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4.25" customHeight="1">
      <c r="A866" s="15"/>
      <c r="B866" s="4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4.25" customHeight="1">
      <c r="A867" s="15"/>
      <c r="B867" s="4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4.25" customHeight="1">
      <c r="A868" s="15"/>
      <c r="B868" s="4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4.25" customHeight="1">
      <c r="A869" s="15"/>
      <c r="B869" s="4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4.25" customHeight="1">
      <c r="A870" s="15"/>
      <c r="B870" s="4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4.25" customHeight="1">
      <c r="A871" s="15"/>
      <c r="B871" s="4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4.25" customHeight="1">
      <c r="A872" s="15"/>
      <c r="B872" s="4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4.25" customHeight="1">
      <c r="A873" s="15"/>
      <c r="B873" s="4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4.25" customHeight="1">
      <c r="A874" s="15"/>
      <c r="B874" s="4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4.25" customHeight="1">
      <c r="A875" s="15"/>
      <c r="B875" s="4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4.25" customHeight="1">
      <c r="A876" s="15"/>
      <c r="B876" s="4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4.25" customHeight="1">
      <c r="A877" s="15"/>
      <c r="B877" s="4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4.25" customHeight="1">
      <c r="A878" s="15"/>
      <c r="B878" s="4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4.25" customHeight="1">
      <c r="A879" s="15"/>
      <c r="B879" s="4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4.25" customHeight="1">
      <c r="A880" s="15"/>
      <c r="B880" s="4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4.25" customHeight="1">
      <c r="A881" s="15"/>
      <c r="B881" s="4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4.25" customHeight="1">
      <c r="A882" s="15"/>
      <c r="B882" s="4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4.25" customHeight="1">
      <c r="A883" s="15"/>
      <c r="B883" s="4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4.25" customHeight="1">
      <c r="A884" s="15"/>
      <c r="B884" s="4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4.25" customHeight="1">
      <c r="A885" s="15"/>
      <c r="B885" s="4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4.25" customHeight="1">
      <c r="A886" s="15"/>
      <c r="B886" s="4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4.25" customHeight="1">
      <c r="A887" s="15"/>
      <c r="B887" s="4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4.25" customHeight="1">
      <c r="A888" s="15"/>
      <c r="B888" s="4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4.25" customHeight="1">
      <c r="A889" s="15"/>
      <c r="B889" s="4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4.25" customHeight="1">
      <c r="A890" s="15"/>
      <c r="B890" s="4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4.25" customHeight="1">
      <c r="A891" s="15"/>
      <c r="B891" s="4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4.25" customHeight="1">
      <c r="A892" s="15"/>
      <c r="B892" s="4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4.25" customHeight="1">
      <c r="A893" s="15"/>
      <c r="B893" s="4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4.25" customHeight="1">
      <c r="A894" s="15"/>
      <c r="B894" s="4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4.25" customHeight="1">
      <c r="A895" s="15"/>
      <c r="B895" s="4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4.25" customHeight="1">
      <c r="A896" s="15"/>
      <c r="B896" s="4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4.25" customHeight="1">
      <c r="A897" s="15"/>
      <c r="B897" s="4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4.25" customHeight="1">
      <c r="A898" s="15"/>
      <c r="B898" s="4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4.25" customHeight="1">
      <c r="A899" s="15"/>
      <c r="B899" s="4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4.25" customHeight="1">
      <c r="A900" s="15"/>
      <c r="B900" s="4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4.25" customHeight="1">
      <c r="A901" s="15"/>
      <c r="B901" s="4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4.25" customHeight="1">
      <c r="A902" s="15"/>
      <c r="B902" s="4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4.25" customHeight="1">
      <c r="A903" s="15"/>
      <c r="B903" s="4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4.25" customHeight="1">
      <c r="A904" s="15"/>
      <c r="B904" s="4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4.25" customHeight="1">
      <c r="A905" s="15"/>
      <c r="B905" s="4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4.25" customHeight="1">
      <c r="A906" s="15"/>
      <c r="B906" s="4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4.25" customHeight="1">
      <c r="A907" s="15"/>
      <c r="B907" s="4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4.25" customHeight="1">
      <c r="A908" s="15"/>
      <c r="B908" s="4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4.25" customHeight="1">
      <c r="A909" s="15"/>
      <c r="B909" s="4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4.25" customHeight="1">
      <c r="A910" s="15"/>
      <c r="B910" s="4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4.25" customHeight="1">
      <c r="A911" s="15"/>
      <c r="B911" s="4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4.25" customHeight="1">
      <c r="A912" s="15"/>
      <c r="B912" s="4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4.25" customHeight="1">
      <c r="A913" s="15"/>
      <c r="B913" s="4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4.25" customHeight="1">
      <c r="A914" s="15"/>
      <c r="B914" s="4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4.25" customHeight="1">
      <c r="A915" s="15"/>
      <c r="B915" s="4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4.25" customHeight="1">
      <c r="A916" s="15"/>
      <c r="B916" s="4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4.25" customHeight="1">
      <c r="A917" s="15"/>
      <c r="B917" s="4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4.25" customHeight="1">
      <c r="A918" s="15"/>
      <c r="B918" s="4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4.25" customHeight="1">
      <c r="A919" s="15"/>
      <c r="B919" s="4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4.25" customHeight="1">
      <c r="A920" s="15"/>
      <c r="B920" s="4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4.25" customHeight="1">
      <c r="A921" s="15"/>
      <c r="B921" s="4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4.25" customHeight="1">
      <c r="A922" s="15"/>
      <c r="B922" s="4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4.25" customHeight="1">
      <c r="A923" s="15"/>
      <c r="B923" s="4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4.25" customHeight="1">
      <c r="A924" s="15"/>
      <c r="B924" s="4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4.25" customHeight="1">
      <c r="A925" s="15"/>
      <c r="B925" s="4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4.25" customHeight="1">
      <c r="A926" s="15"/>
      <c r="B926" s="4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4.25" customHeight="1">
      <c r="A927" s="15"/>
      <c r="B927" s="4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4.25" customHeight="1">
      <c r="A928" s="15"/>
      <c r="B928" s="4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4.25" customHeight="1">
      <c r="A929" s="15"/>
      <c r="B929" s="4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4.25" customHeight="1">
      <c r="A930" s="15"/>
      <c r="B930" s="4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4.25" customHeight="1">
      <c r="A931" s="15"/>
      <c r="B931" s="4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4.25" customHeight="1">
      <c r="A932" s="15"/>
      <c r="B932" s="4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4.25" customHeight="1">
      <c r="A933" s="15"/>
      <c r="B933" s="4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4.25" customHeight="1">
      <c r="A934" s="15"/>
      <c r="B934" s="4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4.25" customHeight="1">
      <c r="A935" s="15"/>
      <c r="B935" s="4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4.25" customHeight="1">
      <c r="A936" s="15"/>
      <c r="B936" s="4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4.25" customHeight="1">
      <c r="A937" s="15"/>
      <c r="B937" s="4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4.25" customHeight="1">
      <c r="A938" s="15"/>
      <c r="B938" s="4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4.25" customHeight="1">
      <c r="A939" s="15"/>
      <c r="B939" s="4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4.25" customHeight="1">
      <c r="A940" s="15"/>
      <c r="B940" s="4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4.25" customHeight="1">
      <c r="A941" s="15"/>
      <c r="B941" s="4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4.25" customHeight="1">
      <c r="A942" s="15"/>
      <c r="B942" s="4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4.25" customHeight="1">
      <c r="A943" s="15"/>
      <c r="B943" s="4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4.25" customHeight="1">
      <c r="A944" s="15"/>
      <c r="B944" s="4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4.25" customHeight="1">
      <c r="A945" s="15"/>
      <c r="B945" s="4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4.25" customHeight="1">
      <c r="A946" s="15"/>
      <c r="B946" s="4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4.25" customHeight="1">
      <c r="A947" s="15"/>
      <c r="B947" s="4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4.25" customHeight="1">
      <c r="A948" s="15"/>
      <c r="B948" s="4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4.25" customHeight="1">
      <c r="A949" s="15"/>
      <c r="B949" s="4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4.25" customHeight="1">
      <c r="A950" s="15"/>
      <c r="B950" s="4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4.25" customHeight="1">
      <c r="A951" s="15"/>
      <c r="B951" s="4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4.25" customHeight="1">
      <c r="A952" s="15"/>
      <c r="B952" s="4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4.25" customHeight="1">
      <c r="A953" s="15"/>
      <c r="B953" s="4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4.25" customHeight="1">
      <c r="A954" s="15"/>
      <c r="B954" s="4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4.25" customHeight="1">
      <c r="A955" s="15"/>
      <c r="B955" s="4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4.25" customHeight="1">
      <c r="A956" s="15"/>
      <c r="B956" s="4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4.25" customHeight="1">
      <c r="A957" s="15"/>
      <c r="B957" s="4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4.25" customHeight="1">
      <c r="A958" s="15"/>
      <c r="B958" s="4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4.25" customHeight="1">
      <c r="A959" s="15"/>
      <c r="B959" s="4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4.25" customHeight="1">
      <c r="A960" s="15"/>
      <c r="B960" s="4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4.25" customHeight="1">
      <c r="A961" s="15"/>
      <c r="B961" s="4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4.25" customHeight="1">
      <c r="A962" s="15"/>
      <c r="B962" s="4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4.25" customHeight="1">
      <c r="A963" s="15"/>
      <c r="B963" s="4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4.25" customHeight="1">
      <c r="A964" s="15"/>
      <c r="B964" s="4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4.25" customHeight="1">
      <c r="A965" s="15"/>
      <c r="B965" s="4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4.25" customHeight="1">
      <c r="A966" s="15"/>
      <c r="B966" s="4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4.25" customHeight="1">
      <c r="A967" s="15"/>
      <c r="B967" s="4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4.25" customHeight="1">
      <c r="A968" s="15"/>
      <c r="B968" s="4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4.25" customHeight="1">
      <c r="A969" s="15"/>
      <c r="B969" s="4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4.25" customHeight="1">
      <c r="A970" s="15"/>
      <c r="B970" s="4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4.25" customHeight="1">
      <c r="A971" s="15"/>
      <c r="B971" s="4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4.25" customHeight="1">
      <c r="A972" s="15"/>
      <c r="B972" s="4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4.25" customHeight="1">
      <c r="A973" s="15"/>
      <c r="B973" s="4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4.25" customHeight="1">
      <c r="A974" s="15"/>
      <c r="B974" s="4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4.25" customHeight="1">
      <c r="A975" s="15"/>
      <c r="B975" s="4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4.25" customHeight="1">
      <c r="A976" s="15"/>
      <c r="B976" s="4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4.25" customHeight="1">
      <c r="A977" s="15"/>
      <c r="B977" s="4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4.25" customHeight="1">
      <c r="A978" s="15"/>
      <c r="B978" s="4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4.25" customHeight="1">
      <c r="A979" s="15"/>
      <c r="B979" s="4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4.25" customHeight="1">
      <c r="A980" s="15"/>
      <c r="B980" s="4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4.25" customHeight="1">
      <c r="A981" s="15"/>
      <c r="B981" s="4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4.25" customHeight="1">
      <c r="A982" s="15"/>
      <c r="B982" s="4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4.25" customHeight="1">
      <c r="A983" s="15"/>
      <c r="B983" s="4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4.25" customHeight="1">
      <c r="A984" s="15"/>
      <c r="B984" s="4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4.25" customHeight="1">
      <c r="A985" s="15"/>
      <c r="B985" s="4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4.25" customHeight="1">
      <c r="A986" s="15"/>
      <c r="B986" s="4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4.25" customHeight="1">
      <c r="A987" s="15"/>
      <c r="B987" s="4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4.25" customHeight="1">
      <c r="A988" s="15"/>
      <c r="B988" s="4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sheetData>
  <mergeCells count="3">
    <mergeCell ref="C13:F13"/>
    <mergeCell ref="C15:F15"/>
    <mergeCell ref="C18:F18"/>
  </mergeCells>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